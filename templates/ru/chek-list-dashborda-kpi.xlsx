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F5B4A"/>
      <sz val="1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color rgb="00555555"/>
      <sz val="10"/>
    </font>
    <font>
      <name val="Arial"/>
      <color rgb="001F3FBF"/>
      <sz val="10"/>
    </font>
  </fonts>
  <fills count="5">
    <fill>
      <patternFill/>
    </fill>
    <fill>
      <patternFill patternType="gray125"/>
    </fill>
    <fill>
      <patternFill patternType="solid">
        <fgColor rgb="000F5B4A"/>
      </patternFill>
    </fill>
    <fill>
      <patternFill patternType="solid">
        <fgColor rgb="00FFF4C2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center"/>
    </xf>
    <xf numFmtId="1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Arial"/>
        <b val="1"/>
        <color rgb="000F5B4A"/>
      </font>
      <fill>
        <patternFill patternType="solid">
          <fgColor rgb="00D8EDE3"/>
        </patternFill>
      </fill>
    </dxf>
    <dxf>
      <font>
        <name val="Arial"/>
        <b val="1"/>
        <color rgb="008A5A00"/>
      </font>
      <fill>
        <patternFill patternType="solid">
          <fgColor rgb="00FBE8C4"/>
        </patternFill>
      </fill>
    </dxf>
    <dxf>
      <font>
        <name val="Arial"/>
        <color rgb="00666666"/>
      </font>
      <fill>
        <patternFill patternType="solid">
          <fgColor rgb="00ECEB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48" customWidth="1" min="4" max="4"/>
    <col width="16" customWidth="1" min="5" max="5"/>
    <col width="14" customWidth="1" min="6" max="6"/>
    <col width="28" customWidth="1" min="7" max="7"/>
  </cols>
  <sheetData>
    <row r="1">
      <c r="A1" s="1" t="inlineStr">
        <is>
          <t>Чек-лист дашборда KPI для ритейла в Power BI</t>
        </is>
      </c>
    </row>
    <row r="2" ht="30" customHeight="1">
      <c r="A2" s="2" t="inlineStr">
        <is>
          <t>Двенадцать проверок перед тем, как дашборд увидит коммерческая команда. Поставьте статус каждой строке; любой невыполненный пункт — повод подождать.</t>
        </is>
      </c>
    </row>
    <row r="4">
      <c r="A4" s="3" t="inlineStr">
        <is>
          <t>№</t>
        </is>
      </c>
      <c r="B4" s="3" t="inlineStr">
        <is>
          <t>Область</t>
        </is>
      </c>
      <c r="C4" s="3" t="inlineStr">
        <is>
          <t>Проверка</t>
        </is>
      </c>
      <c r="D4" s="3" t="inlineStr">
        <is>
          <t>Почему это важно</t>
        </is>
      </c>
      <c r="E4" s="3" t="inlineStr">
        <is>
          <t>Кто отвечает</t>
        </is>
      </c>
      <c r="F4" s="3" t="inlineStr">
        <is>
          <t>Статус</t>
        </is>
      </c>
      <c r="G4" s="3" t="inlineStr">
        <is>
          <t>Комментарий</t>
        </is>
      </c>
    </row>
    <row r="5" ht="46" customHeight="1">
      <c r="A5" s="4" t="n">
        <v>1</v>
      </c>
      <c r="B5" s="5" t="inlineStr">
        <is>
          <t>Определения KPI</t>
        </is>
      </c>
      <c r="C5" s="6" t="inlineStr">
        <is>
          <t>Sell-through определён и описан: формула, период, штуки или деньги.</t>
        </is>
      </c>
      <c r="D5" s="7" t="inlineStr">
        <is>
          <t>Две команды с двумя формулами спорят о цифре, а не о решении.</t>
        </is>
      </c>
      <c r="E5" s="8" t="n"/>
      <c r="F5" s="9" t="inlineStr">
        <is>
          <t>Готово</t>
        </is>
      </c>
      <c r="G5" s="10" t="n"/>
    </row>
    <row r="6" ht="46" customHeight="1">
      <c r="A6" s="4" t="n">
        <v>2</v>
      </c>
      <c r="B6" s="5" t="inlineStr">
        <is>
          <t>Определения KPI</t>
        </is>
      </c>
      <c r="C6" s="6" t="inlineStr">
        <is>
          <t>Покрытие запасом показано по категориям и по рынкам.</t>
        </is>
      </c>
      <c r="D6" s="7" t="inlineStr">
        <is>
          <t>Общее покрытие скрывает категории, которые скоро закончатся или уйдут в уценку.</t>
        </is>
      </c>
      <c r="E6" s="8" t="n"/>
      <c r="F6" s="9" t="inlineStr">
        <is>
          <t>Ещё нет</t>
        </is>
      </c>
      <c r="G6" s="10" t="n"/>
    </row>
    <row r="7" ht="46" customHeight="1">
      <c r="A7" s="4" t="n">
        <v>3</v>
      </c>
      <c r="B7" s="5" t="inlineStr">
        <is>
          <t>Определения KPI</t>
        </is>
      </c>
      <c r="C7" s="6" t="inlineStr">
        <is>
          <t>Доля продаж по полной цене и глубина уценки стоят рядом.</t>
        </is>
      </c>
      <c r="D7" s="7" t="inlineStr">
        <is>
          <t>Рост продаж за счёт скидок выглядит успехом, пока никто не посмотрел на маржу.</t>
        </is>
      </c>
      <c r="E7" s="8" t="n"/>
      <c r="F7" s="9" t="inlineStr">
        <is>
          <t>Ещё нет</t>
        </is>
      </c>
      <c r="G7" s="10" t="n"/>
    </row>
    <row r="8" ht="46" customHeight="1">
      <c r="A8" s="4" t="n">
        <v>4</v>
      </c>
      <c r="B8" s="5" t="inlineStr">
        <is>
          <t>Определения KPI</t>
        </is>
      </c>
      <c r="C8" s="6" t="inlineStr">
        <is>
          <t>Возвраты находятся в той же модели данных, что и продажи.</t>
        </is>
      </c>
      <c r="D8" s="7" t="inlineStr">
        <is>
          <t>Чистые продажи и sell-through неверны для категорий с высокими возвратами, если возвраты лежат отдельно.</t>
        </is>
      </c>
      <c r="E8" s="8" t="n"/>
      <c r="F8" s="9" t="inlineStr">
        <is>
          <t>Ещё нет</t>
        </is>
      </c>
      <c r="G8" s="10" t="n"/>
    </row>
    <row r="9" ht="46" customHeight="1">
      <c r="A9" s="4" t="n">
        <v>5</v>
      </c>
      <c r="B9" s="5" t="inlineStr">
        <is>
          <t>Определения KPI</t>
        </is>
      </c>
      <c r="C9" s="6" t="inlineStr">
        <is>
          <t>Валовая маржа и GMROI считаются от той же себестоимости, что и у финансов.</t>
        </is>
      </c>
      <c r="D9" s="7" t="inlineStr">
        <is>
          <t>Разная себестоимость — и дашборд расходится с ежемесячным финансовым отчётом.</t>
        </is>
      </c>
      <c r="E9" s="8" t="n"/>
      <c r="F9" s="9" t="inlineStr">
        <is>
          <t>Ещё нет</t>
        </is>
      </c>
      <c r="G9" s="10" t="n"/>
    </row>
    <row r="10" ht="46" customHeight="1">
      <c r="A10" s="4" t="n">
        <v>6</v>
      </c>
      <c r="B10" s="5" t="inlineStr">
        <is>
          <t>Модель данных</t>
        </is>
      </c>
      <c r="C10" s="6" t="inlineStr">
        <is>
          <t>Одна таблица дат, отмеченная как таблица дат, с неделями по торговому календарю.</t>
        </is>
      </c>
      <c r="D10" s="7" t="inlineStr">
        <is>
          <t>Сравнения неделя к неделе и год к году сдвигаются, если календари разные.</t>
        </is>
      </c>
      <c r="E10" s="8" t="n"/>
      <c r="F10" s="9" t="inlineStr">
        <is>
          <t>Ещё нет</t>
        </is>
      </c>
      <c r="G10" s="10" t="n"/>
    </row>
    <row r="11" ht="46" customHeight="1">
      <c r="A11" s="4" t="n">
        <v>7</v>
      </c>
      <c r="B11" s="5" t="inlineStr">
        <is>
          <t>Модель данных</t>
        </is>
      </c>
      <c r="C11" s="6" t="inlineStr">
        <is>
          <t>Остатки загружены как срезы на дату и никогда не суммируются по датам.</t>
        </is>
      </c>
      <c r="D11" s="7" t="inlineStr">
        <is>
          <t>Сумма остатков за несколько недель в разы больше реального запаса.</t>
        </is>
      </c>
      <c r="E11" s="8" t="n"/>
      <c r="F11" s="9" t="inlineStr">
        <is>
          <t>Ещё нет</t>
        </is>
      </c>
      <c r="G11" s="10" t="n"/>
    </row>
    <row r="12" ht="46" customHeight="1">
      <c r="A12" s="4" t="n">
        <v>8</v>
      </c>
      <c r="B12" s="5" t="inlineStr">
        <is>
          <t>Модель данных</t>
        </is>
      </c>
      <c r="C12" s="6" t="inlineStr">
        <is>
          <t>Одна валюта отчёта, курсы и дата курса записаны.</t>
        </is>
      </c>
      <c r="D12" s="7" t="inlineStr">
        <is>
          <t>Рынки в разных валютах нельзя ни сравнить, ни сложить.</t>
        </is>
      </c>
      <c r="E12" s="8" t="n"/>
      <c r="F12" s="9" t="inlineStr">
        <is>
          <t>Ещё нет</t>
        </is>
      </c>
      <c r="G12" s="10" t="n"/>
    </row>
    <row r="13" ht="46" customHeight="1">
      <c r="A13" s="4" t="n">
        <v>9</v>
      </c>
      <c r="B13" s="5" t="inlineStr">
        <is>
          <t>Доступ</t>
        </is>
      </c>
      <c r="C13" s="6" t="inlineStr">
        <is>
          <t>Безопасность на уровне строк (RLS) по рынкам настроена и проверена через «Просмотреть как роль».</t>
        </is>
      </c>
      <c r="D13" s="7" t="inlineStr">
        <is>
          <t>Каждый рынок должен видеть только свои цифры, а неправильная роль открывает чужие.</t>
        </is>
      </c>
      <c r="E13" s="8" t="n"/>
      <c r="F13" s="9" t="inlineStr">
        <is>
          <t>Ещё нет</t>
        </is>
      </c>
      <c r="G13" s="10" t="n"/>
    </row>
    <row r="14" ht="46" customHeight="1">
      <c r="A14" s="4" t="n">
        <v>10</v>
      </c>
      <c r="B14" s="5" t="inlineStr">
        <is>
          <t>Обновление</t>
        </is>
      </c>
      <c r="C14" s="6" t="inlineStr">
        <is>
          <t>Плановое обновление работает, дата последнего обновления видна в отчёте.</t>
        </is>
      </c>
      <c r="D14" s="7" t="inlineStr">
        <is>
          <t>Отчёту перестают доверять, как только узнают, что он показывал данные недельной давности.</t>
        </is>
      </c>
      <c r="E14" s="8" t="n"/>
      <c r="F14" s="9" t="inlineStr">
        <is>
          <t>Ещё нет</t>
        </is>
      </c>
      <c r="G14" s="10" t="n"/>
    </row>
    <row r="15" ht="46" customHeight="1">
      <c r="A15" s="4" t="n">
        <v>11</v>
      </c>
      <c r="B15" s="5" t="inlineStr">
        <is>
          <t>Владельцы</t>
        </is>
      </c>
      <c r="C15" s="6" t="inlineStr">
        <is>
          <t>У каждой страницы отчёта один владелец с именем.</t>
        </is>
      </c>
      <c r="D15" s="7" t="inlineStr">
        <is>
          <t>С вопросами и ошибками нужно идти к одному человеку, а не в общий ящик.</t>
        </is>
      </c>
      <c r="E15" s="8" t="n"/>
      <c r="F15" s="9" t="inlineStr">
        <is>
          <t>Ещё нет</t>
        </is>
      </c>
      <c r="G15" s="10" t="n"/>
    </row>
    <row r="16" ht="46" customHeight="1">
      <c r="A16" s="4" t="n">
        <v>12</v>
      </c>
      <c r="B16" s="5" t="inlineStr">
        <is>
          <t>Сверка</t>
        </is>
      </c>
      <c r="C16" s="6" t="inlineStr">
        <is>
          <t>Итоги за одну закрытую неделю совпадают с финансовым отчётом или ERP.</t>
        </is>
      </c>
      <c r="D16" s="7" t="inlineStr">
        <is>
          <t>Одна сверенная неделя — самое быстрое доказательство, что модель считает верно.</t>
        </is>
      </c>
      <c r="E16" s="8" t="n"/>
      <c r="F16" s="9" t="inlineStr">
        <is>
          <t>Ещё нет</t>
        </is>
      </c>
      <c r="G16" s="10" t="n"/>
    </row>
    <row r="18">
      <c r="B18" s="11" t="inlineStr">
        <is>
          <t>Готово</t>
        </is>
      </c>
      <c r="C18" s="12">
        <f>COUNTIF(F5:F16,"Готово")</f>
        <v/>
      </c>
    </row>
    <row r="19">
      <c r="B19" s="11" t="inlineStr">
        <is>
          <t>Применимых проверок</t>
        </is>
      </c>
      <c r="C19" s="12">
        <f>COUNT(A5:A16)-COUNTIF(F5:F16,"Не относится")</f>
        <v/>
      </c>
    </row>
    <row r="20">
      <c r="B20" s="11" t="inlineStr">
        <is>
          <t>Прогресс</t>
        </is>
      </c>
      <c r="C20" s="13">
        <f>IF(C19=0,0,C18/C19)</f>
        <v/>
      </c>
    </row>
    <row r="21">
      <c r="B21" s="11" t="inlineStr">
        <is>
          <t>Итог</t>
        </is>
      </c>
      <c r="C21" s="12">
        <f>IF(AND(C19&gt;0,C18=C19),"Можно показывать","Пока рано")</f>
        <v/>
      </c>
    </row>
  </sheetData>
  <mergeCells count="1">
    <mergeCell ref="A2:G2"/>
  </mergeCells>
  <conditionalFormatting sqref="F5:F16">
    <cfRule type="cellIs" priority="1" operator="equal" dxfId="0">
      <formula>"Готово"</formula>
    </cfRule>
    <cfRule type="cellIs" priority="2" operator="equal" dxfId="1">
      <formula>"Ещё нет"</formula>
    </cfRule>
    <cfRule type="cellIs" priority="3" operator="equal" dxfId="2">
      <formula>"Не относится"</formula>
    </cfRule>
  </conditionalFormatting>
  <conditionalFormatting sqref="C21">
    <cfRule type="cellIs" priority="4" operator="equal" dxfId="0">
      <formula>"Можно показывать"</formula>
    </cfRule>
    <cfRule type="cellIs" priority="5" operator="equal" dxfId="1">
      <formula>"Пока рано"</formula>
    </cfRule>
  </conditionalFormatting>
  <dataValidations count="1">
    <dataValidation sqref="F5 F6 F7 F8 F9 F10 F11 F12 F13 F14 F15 F16" showDropDown="0" showInputMessage="0" showErrorMessage="0" allowBlank="1" type="list">
      <formula1>"Готово,Ещё нет,Не относится"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Татьяна Бандюк · tatsianabandziuk.com</dc:creator>
  <dc:title>Чек-лист дашборда KPI для ритейла в Power BI</dc:title>
  <dcterms:created xsi:type="dcterms:W3CDTF">2026-09-18T08:56:58Z</dcterms:created>
  <dcterms:modified xsi:type="dcterms:W3CDTF">2026-09-18T08:56:58Z</dcterms:modified>
</cp:coreProperties>
</file>