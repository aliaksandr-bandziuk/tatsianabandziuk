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струкция" sheetId="1" state="visible" r:id="rId1"/>
    <sheet name="OTB" sheetId="2" state="visible" r:id="rId2"/>
    <sheet name="Проверки" sheetId="3" state="visible" r:id="rId3"/>
    <sheet name="Размеры и цвета" sheetId="4" state="visible" r:id="rId4"/>
    <sheet name="Определения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;-#,##0;-"/>
  </numFmts>
  <fonts count="10">
    <font>
      <name val="Calibri"/>
      <family val="2"/>
      <color theme="1"/>
      <sz val="11"/>
      <scheme val="minor"/>
    </font>
    <font>
      <name val="Arial"/>
      <b val="1"/>
      <color rgb="000F5B4A"/>
      <sz val="15"/>
    </font>
    <font>
      <name val="Arial"/>
      <i val="1"/>
      <color rgb="00555555"/>
      <sz val="10"/>
    </font>
    <font>
      <name val="Arial"/>
      <b val="1"/>
      <color rgb="00222222"/>
      <sz val="10"/>
    </font>
    <font>
      <name val="Arial"/>
      <color rgb="001F3FBF"/>
      <sz val="10"/>
    </font>
    <font>
      <name val="Arial"/>
      <color rgb="00888888"/>
      <sz val="10"/>
    </font>
    <font>
      <name val="Arial"/>
      <b val="1"/>
      <color rgb="00FFFFFF"/>
      <sz val="10"/>
    </font>
    <font>
      <name val="Arial"/>
      <b val="1"/>
      <color rgb="001F3FBF"/>
      <sz val="10"/>
    </font>
    <font>
      <name val="Arial"/>
      <color rgb="00222222"/>
      <sz val="10"/>
    </font>
    <font>
      <name val="Arial"/>
      <i val="1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FFF4C2"/>
      </patternFill>
    </fill>
    <fill>
      <patternFill patternType="solid">
        <fgColor rgb="000F5B4A"/>
      </patternFill>
    </fill>
    <fill>
      <patternFill patternType="solid">
        <fgColor rgb="00E8F1EE"/>
      </patternFill>
    </fill>
    <fill>
      <patternFill patternType="solid">
        <fgColor rgb="00F6F4EF"/>
      </patternFill>
    </fill>
  </fills>
  <borders count="6">
    <border>
      <left/>
      <right/>
      <top/>
      <bottom/>
      <diagonal/>
    </border>
    <border>
      <left style="thin">
        <color rgb="00D5D2CA"/>
      </left>
      <right style="thin">
        <color rgb="00D5D2CA"/>
      </right>
      <top style="thin">
        <color rgb="00D5D2CA"/>
      </top>
      <bottom style="thin">
        <color rgb="00D5D2CA"/>
      </bottom>
    </border>
    <border>
      <left/>
      <right/>
      <top style="thin">
        <color rgb="00D5D2CA"/>
      </top>
      <bottom/>
      <diagonal/>
    </border>
    <border>
      <left/>
      <right style="thin">
        <color rgb="00D5D2CA"/>
      </right>
      <top style="thin">
        <color rgb="00D5D2CA"/>
      </top>
      <bottom/>
      <diagonal/>
    </border>
    <border>
      <left/>
      <right style="thin">
        <color rgb="00D5D2CA"/>
      </right>
      <top style="thin">
        <color rgb="00D5D2CA"/>
      </top>
      <bottom style="thin">
        <color rgb="00D5D2CA"/>
      </bottom>
      <diagonal/>
    </border>
    <border>
      <left/>
      <right/>
      <top style="thin">
        <color rgb="00D5D2CA"/>
      </top>
      <bottom style="thin">
        <color rgb="00D5D2CA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6" fillId="3" borderId="1" applyAlignment="1" pivotButton="0" quotePrefix="0" xfId="0">
      <alignment vertical="center"/>
    </xf>
    <xf numFmtId="0" fontId="0" fillId="0" borderId="4" pivotButton="0" quotePrefix="0" xfId="0"/>
    <xf numFmtId="0" fontId="3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164" fontId="4" fillId="2" borderId="1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0" fontId="8" fillId="4" borderId="1" applyAlignment="1" pivotButton="0" quotePrefix="0" xfId="0">
      <alignment vertical="center"/>
    </xf>
    <xf numFmtId="165" fontId="8" fillId="4" borderId="1" applyAlignment="1" pivotButton="0" quotePrefix="0" xfId="0">
      <alignment vertical="center"/>
    </xf>
    <xf numFmtId="165" fontId="3" fillId="4" borderId="1" applyAlignment="1" pivotButton="0" quotePrefix="0" xfId="0">
      <alignment vertical="center"/>
    </xf>
    <xf numFmtId="164" fontId="8" fillId="4" borderId="1" applyAlignment="1" pivotButton="0" quotePrefix="0" xfId="0">
      <alignment vertical="center"/>
    </xf>
    <xf numFmtId="164" fontId="3" fillId="4" borderId="1" applyAlignment="1" pivotButton="0" quotePrefix="0" xfId="0">
      <alignment vertical="center"/>
    </xf>
    <xf numFmtId="4" fontId="8" fillId="4" borderId="1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/>
    </xf>
    <xf numFmtId="0" fontId="3" fillId="2" borderId="1" applyAlignment="1" pivotButton="0" quotePrefix="0" xfId="0">
      <alignment vertical="center"/>
    </xf>
    <xf numFmtId="0" fontId="8" fillId="0" borderId="1" applyAlignment="1" pivotButton="0" quotePrefix="0" xfId="0">
      <alignment vertical="center"/>
    </xf>
    <xf numFmtId="165" fontId="4" fillId="2" borderId="1" applyAlignment="1" pivotButton="0" quotePrefix="0" xfId="0">
      <alignment vertical="center"/>
    </xf>
    <xf numFmtId="165" fontId="3" fillId="0" borderId="1" applyAlignment="1" pivotButton="0" quotePrefix="0" xfId="0">
      <alignment vertical="center"/>
    </xf>
    <xf numFmtId="165" fontId="8" fillId="0" borderId="1" applyAlignment="1" pivotButton="0" quotePrefix="0" xfId="0">
      <alignment vertical="center"/>
    </xf>
    <xf numFmtId="164" fontId="8" fillId="0" borderId="1" applyAlignment="1" pivotButton="0" quotePrefix="0" xfId="0">
      <alignment vertical="center"/>
    </xf>
    <xf numFmtId="164" fontId="3" fillId="0" borderId="1" applyAlignment="1" pivotButton="0" quotePrefix="0" xfId="0">
      <alignment vertical="center"/>
    </xf>
    <xf numFmtId="4" fontId="4" fillId="2" borderId="1" applyAlignment="1" pivotButton="0" quotePrefix="0" xfId="0">
      <alignment vertical="center"/>
    </xf>
    <xf numFmtId="4" fontId="8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8" fillId="5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1" fontId="8" fillId="0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  <xf numFmtId="0" fontId="0" fillId="0" borderId="5" pivotButton="0" quotePrefix="0" xfId="0"/>
    <xf numFmtId="0" fontId="8" fillId="2" borderId="1" applyAlignment="1" pivotButton="0" quotePrefix="0" xfId="0">
      <alignment vertical="center"/>
    </xf>
    <xf numFmtId="165" fontId="8" fillId="2" borderId="1" applyAlignment="1" pivotButton="0" quotePrefix="0" xfId="0">
      <alignment vertical="center"/>
    </xf>
    <xf numFmtId="0" fontId="9" fillId="0" borderId="0" pivotButton="0" quotePrefix="0" xfId="0"/>
  </cellXfs>
  <cellStyles count="1">
    <cellStyle name="Normal" xfId="0" builtinId="0" hidden="0"/>
  </cellStyles>
  <dxfs count="4">
    <dxf>
      <font>
        <name val="Arial"/>
        <b val="1"/>
        <color rgb="009B1C1C"/>
      </font>
      <fill>
        <patternFill patternType="solid">
          <fgColor rgb="00F6D5D1"/>
        </patternFill>
      </fill>
    </dxf>
    <dxf>
      <font>
        <name val="Arial"/>
        <b val="1"/>
        <color rgb="008A5A00"/>
      </font>
      <fill>
        <patternFill patternType="solid">
          <fgColor rgb="00FBE8C4"/>
        </patternFill>
      </fill>
    </dxf>
    <dxf>
      <font>
        <name val="Arial"/>
        <b val="1"/>
        <color rgb="000F5B4A"/>
      </font>
      <fill>
        <patternFill patternType="solid">
          <fgColor rgb="00D8EDE3"/>
        </patternFill>
      </fill>
    </dxf>
    <dxf>
      <font>
        <name val="Arial"/>
        <b val="1"/>
        <color rgb="00B42318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Татьяна Бандюк · tatsianabandziuk.com</author>
  </authors>
  <commentList>
    <comment ref="C6" authorId="0" shapeId="0">
      <text>
        <t>Месяцы до этого номера включительно закрыты: в них нужно внести фактические продажи и поставки.</t>
      </text>
    </comment>
  </commentList>
</comments>
</file>

<file path=xl/comments/comment2.xml><?xml version="1.0" encoding="utf-8"?>
<comments xmlns="http://schemas.openxmlformats.org/spreadsheetml/2006/main">
  <authors>
    <author>Татьяна Бандюк · tatsianabandziuk.com</author>
  </authors>
  <commentList>
    <comment ref="B5" authorId="0" shapeId="0">
      <text>
        <t>Связано с итогом open-to-buy в штуках первого блока на листе OTB. Можно заменить другой ячейкой или числом.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zoomScale="100"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1" t="inlineStr">
        <is>
          <t>Как работать с шаблоном бюджета закупок</t>
        </is>
      </c>
    </row>
    <row r="2" ht="30" customHeight="1">
      <c r="A2" s="2" t="inlineStr">
        <is>
          <t>Татьяна Бандюк · tatsianabandziuk.com</t>
        </is>
      </c>
    </row>
    <row r="4">
      <c r="A4" s="3" t="inlineStr">
        <is>
          <t>До сезона</t>
        </is>
      </c>
      <c r="B4" s="4" t="n"/>
    </row>
    <row r="5" ht="44" customHeight="1">
      <c r="A5" s="5" t="inlineStr">
        <is>
          <t>1. План продаж</t>
        </is>
      </c>
      <c r="B5" s="6" t="inlineStr">
        <is>
          <t>Внесите план продаж по месяцам для каждого рынка и категории на листе OTB. Отправная точка — продажи тех же недель прошлого сезона.</t>
        </is>
      </c>
    </row>
    <row r="6" ht="44" customHeight="1">
      <c r="A6" s="5" t="inlineStr">
        <is>
          <t>2. План остатков и уценки</t>
        </is>
      </c>
      <c r="B6" s="6" t="inlineStr">
        <is>
          <t>Внесите план уценки и остаток, который нужен на конец каждого месяца. Остаток на начало вносится только для первого месяца, дальше его считает формула.</t>
        </is>
      </c>
    </row>
    <row r="7" ht="44" customHeight="1">
      <c r="A7" s="5" t="inlineStr">
        <is>
          <t>3. Бюджет</t>
        </is>
      </c>
      <c r="B7" s="6" t="inlineStr">
        <is>
          <t>Внесите уже размещённые заказы, маржинальность закупки и среднюю себестоимость единицы. Лист покажет open-to-buy в рознице, по себестоимости и в штуках.</t>
        </is>
      </c>
    </row>
    <row r="8" ht="44" customHeight="1">
      <c r="A8" s="5" t="inlineStr">
        <is>
          <t>4. Заказы</t>
        </is>
      </c>
      <c r="B8" s="6" t="inlineStr">
        <is>
          <t>Разложите штуки по размерам и цветам на листе «Размеры и цвета», разместите заказы и добавьте их в строку «Заказано».</t>
        </is>
      </c>
    </row>
    <row r="9">
      <c r="A9" s="3" t="inlineStr">
        <is>
          <t>В течение сезона</t>
        </is>
      </c>
      <c r="B9" s="4" t="n"/>
    </row>
    <row r="10" ht="44" customHeight="1">
      <c r="A10" s="5" t="inlineStr">
        <is>
          <t>5. Сверка с фактом</t>
        </is>
      </c>
      <c r="B10" s="6" t="inlineStr">
        <is>
          <t>Когда месяц закрыт, внесите фактические продажи и поставки и увеличьте номер текущего месяца. Перед следующим заказом откройте лист «Проверки».</t>
        </is>
      </c>
    </row>
    <row r="11" ht="44" customHeight="1">
      <c r="A11" s="5" t="inlineStr">
        <is>
          <t>6. Новый прогноз</t>
        </is>
      </c>
      <c r="B11" s="6" t="inlineStr">
        <is>
          <t>Если продажи ушли от плана, сначала измените план продаж и уценки на оставшиеся месяцы, потом снова смотрите на open-to-buy.</t>
        </is>
      </c>
    </row>
    <row r="12">
      <c r="A12" s="3" t="inlineStr">
        <is>
          <t>Передача модели команде</t>
        </is>
      </c>
      <c r="B12" s="4" t="n"/>
    </row>
    <row r="13" ht="44" customHeight="1">
      <c r="A13" s="5" t="inlineStr">
        <is>
          <t>Владельцы</t>
        </is>
      </c>
      <c r="B13" s="6" t="inlineStr">
        <is>
          <t>У каждого показателя есть владелец на листе «Определения». Согласуйте имена до начала сезона.</t>
        </is>
      </c>
    </row>
    <row r="14" ht="44" customHeight="1">
      <c r="A14" s="5" t="inlineStr">
        <is>
          <t>Изменения</t>
        </is>
      </c>
      <c r="B14" s="6" t="inlineStr">
        <is>
          <t>Новый рынок или категория: скопируйте полный блок из 13 строк под последним и поменяйте названия. Блок «Все рынки» учтёт его автоматически.</t>
        </is>
      </c>
    </row>
    <row r="15" ht="44" customHeight="1">
      <c r="A15" s="5" t="inlineStr">
        <is>
          <t>Обозначения</t>
        </is>
      </c>
      <c r="B15" s="6" t="inlineStr">
        <is>
          <t>Жёлтая ячейка — ввод. Белая — формула. Зелёный заголовок — раздел. Значения в примере условные, замените их своими.</t>
        </is>
      </c>
    </row>
  </sheetData>
  <mergeCells count="4">
    <mergeCell ref="A4:B4"/>
    <mergeCell ref="A9:B9"/>
    <mergeCell ref="A2:B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7"/>
  <sheetViews>
    <sheetView zoomScale="100" workbookViewId="0">
      <pane xSplit="3" ySplit="11" topLeftCell="D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3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5" customWidth="1" min="10" max="10"/>
  </cols>
  <sheetData>
    <row r="1">
      <c r="A1" s="1" t="inlineStr">
        <is>
          <t>Бюджет закупок open-to-buy по месяцам, категориям и рынкам</t>
        </is>
      </c>
    </row>
    <row r="2" ht="30" customHeight="1">
      <c r="A2" s="2" t="inlineStr">
        <is>
          <t>Жёлтые ячейки — ввод данных. Белые — формулы, их не перезаписывайте. Все суммы в розничных ценах, если в строке не сказано о себестоимости или штуках.</t>
        </is>
      </c>
    </row>
    <row r="4">
      <c r="A4" s="7" t="inlineStr">
        <is>
          <t>Сезон</t>
        </is>
      </c>
      <c r="B4" s="4" t="n"/>
      <c r="C4" s="8" t="inlineStr">
        <is>
          <t>ВЛ27</t>
        </is>
      </c>
    </row>
    <row r="5">
      <c r="A5" s="7" t="inlineStr">
        <is>
          <t>Валюта</t>
        </is>
      </c>
      <c r="B5" s="4" t="n"/>
      <c r="C5" s="8" t="inlineStr">
        <is>
          <t>EUR</t>
        </is>
      </c>
    </row>
    <row r="6">
      <c r="A6" s="7" t="inlineStr">
        <is>
          <t>Текущий месяц (1–6)</t>
        </is>
      </c>
      <c r="B6" s="4" t="n"/>
      <c r="C6" s="8" t="n">
        <v>2</v>
      </c>
    </row>
    <row r="7">
      <c r="A7" s="7" t="inlineStr">
        <is>
          <t>Допустимое отклонение</t>
        </is>
      </c>
      <c r="B7" s="4" t="n"/>
      <c r="C7" s="9" t="n">
        <v>0.1</v>
      </c>
    </row>
    <row r="10">
      <c r="C10" s="7" t="inlineStr">
        <is>
          <t>Месяцы</t>
        </is>
      </c>
      <c r="D10" s="10" t="n">
        <v>1</v>
      </c>
      <c r="E10" s="10" t="n">
        <v>2</v>
      </c>
      <c r="F10" s="10" t="n">
        <v>3</v>
      </c>
      <c r="G10" s="10" t="n">
        <v>4</v>
      </c>
      <c r="H10" s="10" t="n">
        <v>5</v>
      </c>
      <c r="I10" s="10" t="n">
        <v>6</v>
      </c>
    </row>
    <row r="11">
      <c r="A11" s="11" t="inlineStr">
        <is>
          <t>Рынок</t>
        </is>
      </c>
      <c r="B11" s="11" t="inlineStr">
        <is>
          <t>Категория</t>
        </is>
      </c>
      <c r="C11" s="11" t="inlineStr">
        <is>
          <t>Строка</t>
        </is>
      </c>
      <c r="D11" s="12" t="inlineStr">
        <is>
          <t>фев</t>
        </is>
      </c>
      <c r="E11" s="12" t="inlineStr">
        <is>
          <t>мар</t>
        </is>
      </c>
      <c r="F11" s="12" t="inlineStr">
        <is>
          <t>апр</t>
        </is>
      </c>
      <c r="G11" s="12" t="inlineStr">
        <is>
          <t>май</t>
        </is>
      </c>
      <c r="H11" s="12" t="inlineStr">
        <is>
          <t>июн</t>
        </is>
      </c>
      <c r="I11" s="12" t="inlineStr">
        <is>
          <t>июл</t>
        </is>
      </c>
      <c r="J11" s="11" t="inlineStr">
        <is>
          <t>Итого за сезон</t>
        </is>
      </c>
    </row>
    <row r="13">
      <c r="A13" s="13" t="inlineStr">
        <is>
          <t>Все рынки</t>
        </is>
      </c>
      <c r="B13" s="13" t="inlineStr">
        <is>
          <t>Все категории</t>
        </is>
      </c>
      <c r="C13" s="14" t="inlineStr">
        <is>
          <t>План продаж</t>
        </is>
      </c>
      <c r="D13" s="15">
        <f>SUMIF($C$26:$C$400,$C13,D$26:D$400)</f>
        <v/>
      </c>
      <c r="E13" s="15">
        <f>SUMIF($C$26:$C$400,$C13,E$26:E$400)</f>
        <v/>
      </c>
      <c r="F13" s="15">
        <f>SUMIF($C$26:$C$400,$C13,F$26:F$400)</f>
        <v/>
      </c>
      <c r="G13" s="15">
        <f>SUMIF($C$26:$C$400,$C13,G$26:G$400)</f>
        <v/>
      </c>
      <c r="H13" s="15">
        <f>SUMIF($C$26:$C$400,$C13,H$26:H$400)</f>
        <v/>
      </c>
      <c r="I13" s="15">
        <f>SUMIF($C$26:$C$400,$C13,I$26:I$400)</f>
        <v/>
      </c>
      <c r="J13" s="16">
        <f>SUM(D13:I13)</f>
        <v/>
      </c>
    </row>
    <row r="14">
      <c r="A14" s="14" t="n"/>
      <c r="B14" s="14" t="n"/>
      <c r="C14" s="14" t="inlineStr">
        <is>
          <t>План уценки</t>
        </is>
      </c>
      <c r="D14" s="15">
        <f>SUMIF($C$26:$C$400,$C14,D$26:D$400)</f>
        <v/>
      </c>
      <c r="E14" s="15">
        <f>SUMIF($C$26:$C$400,$C14,E$26:E$400)</f>
        <v/>
      </c>
      <c r="F14" s="15">
        <f>SUMIF($C$26:$C$400,$C14,F$26:F$400)</f>
        <v/>
      </c>
      <c r="G14" s="15">
        <f>SUMIF($C$26:$C$400,$C14,G$26:G$400)</f>
        <v/>
      </c>
      <c r="H14" s="15">
        <f>SUMIF($C$26:$C$400,$C14,H$26:H$400)</f>
        <v/>
      </c>
      <c r="I14" s="15">
        <f>SUMIF($C$26:$C$400,$C14,I$26:I$400)</f>
        <v/>
      </c>
      <c r="J14" s="16">
        <f>SUM(D14:I14)</f>
        <v/>
      </c>
    </row>
    <row r="15">
      <c r="A15" s="14" t="n"/>
      <c r="B15" s="14" t="n"/>
      <c r="C15" s="14" t="inlineStr">
        <is>
          <t>План остатка на конец</t>
        </is>
      </c>
      <c r="D15" s="15">
        <f>SUMIF($C$26:$C$400,$C15,D$26:D$400)</f>
        <v/>
      </c>
      <c r="E15" s="15">
        <f>SUMIF($C$26:$C$400,$C15,E$26:E$400)</f>
        <v/>
      </c>
      <c r="F15" s="15">
        <f>SUMIF($C$26:$C$400,$C15,F$26:F$400)</f>
        <v/>
      </c>
      <c r="G15" s="15">
        <f>SUMIF($C$26:$C$400,$C15,G$26:G$400)</f>
        <v/>
      </c>
      <c r="H15" s="15">
        <f>SUMIF($C$26:$C$400,$C15,H$26:H$400)</f>
        <v/>
      </c>
      <c r="I15" s="15">
        <f>SUMIF($C$26:$C$400,$C15,I$26:I$400)</f>
        <v/>
      </c>
      <c r="J15" s="16">
        <f>I15</f>
        <v/>
      </c>
    </row>
    <row r="16">
      <c r="A16" s="14" t="n"/>
      <c r="B16" s="14" t="n"/>
      <c r="C16" s="14" t="inlineStr">
        <is>
          <t>Остаток на начало</t>
        </is>
      </c>
      <c r="D16" s="15">
        <f>SUMIF($C$26:$C$400,$C16,D$26:D$400)</f>
        <v/>
      </c>
      <c r="E16" s="15">
        <f>SUMIF($C$26:$C$400,$C16,E$26:E$400)</f>
        <v/>
      </c>
      <c r="F16" s="15">
        <f>SUMIF($C$26:$C$400,$C16,F$26:F$400)</f>
        <v/>
      </c>
      <c r="G16" s="15">
        <f>SUMIF($C$26:$C$400,$C16,G$26:G$400)</f>
        <v/>
      </c>
      <c r="H16" s="15">
        <f>SUMIF($C$26:$C$400,$C16,H$26:H$400)</f>
        <v/>
      </c>
      <c r="I16" s="15">
        <f>SUMIF($C$26:$C$400,$C16,I$26:I$400)</f>
        <v/>
      </c>
      <c r="J16" s="16">
        <f>D16</f>
        <v/>
      </c>
    </row>
    <row r="17">
      <c r="A17" s="14" t="n"/>
      <c r="B17" s="14" t="n"/>
      <c r="C17" s="14" t="inlineStr">
        <is>
          <t>Заказано</t>
        </is>
      </c>
      <c r="D17" s="15">
        <f>SUMIF($C$26:$C$400,$C17,D$26:D$400)</f>
        <v/>
      </c>
      <c r="E17" s="15">
        <f>SUMIF($C$26:$C$400,$C17,E$26:E$400)</f>
        <v/>
      </c>
      <c r="F17" s="15">
        <f>SUMIF($C$26:$C$400,$C17,F$26:F$400)</f>
        <v/>
      </c>
      <c r="G17" s="15">
        <f>SUMIF($C$26:$C$400,$C17,G$26:G$400)</f>
        <v/>
      </c>
      <c r="H17" s="15">
        <f>SUMIF($C$26:$C$400,$C17,H$26:H$400)</f>
        <v/>
      </c>
      <c r="I17" s="15">
        <f>SUMIF($C$26:$C$400,$C17,I$26:I$400)</f>
        <v/>
      </c>
      <c r="J17" s="16">
        <f>SUM(D17:I17)</f>
        <v/>
      </c>
    </row>
    <row r="18">
      <c r="A18" s="14" t="n"/>
      <c r="B18" s="14" t="n"/>
      <c r="C18" s="13" t="inlineStr">
        <is>
          <t>Open-to-buy</t>
        </is>
      </c>
      <c r="D18" s="16">
        <f>SUMIF($C$26:$C$400,$C18,D$26:D$400)</f>
        <v/>
      </c>
      <c r="E18" s="16">
        <f>SUMIF($C$26:$C$400,$C18,E$26:E$400)</f>
        <v/>
      </c>
      <c r="F18" s="16">
        <f>SUMIF($C$26:$C$400,$C18,F$26:F$400)</f>
        <v/>
      </c>
      <c r="G18" s="16">
        <f>SUMIF($C$26:$C$400,$C18,G$26:G$400)</f>
        <v/>
      </c>
      <c r="H18" s="16">
        <f>SUMIF($C$26:$C$400,$C18,H$26:H$400)</f>
        <v/>
      </c>
      <c r="I18" s="16">
        <f>SUMIF($C$26:$C$400,$C18,I$26:I$400)</f>
        <v/>
      </c>
      <c r="J18" s="16">
        <f>SUM(D18:I18)</f>
        <v/>
      </c>
    </row>
    <row r="19">
      <c r="A19" s="14" t="n"/>
      <c r="B19" s="14" t="n"/>
      <c r="C19" s="14" t="inlineStr">
        <is>
          <t>Маржинальность закупки %</t>
        </is>
      </c>
      <c r="D19" s="17">
        <f>IF(D18=0,"",1-D20/D18)</f>
        <v/>
      </c>
      <c r="E19" s="17">
        <f>IF(E18=0,"",1-E20/E18)</f>
        <v/>
      </c>
      <c r="F19" s="17">
        <f>IF(F18=0,"",1-F20/F18)</f>
        <v/>
      </c>
      <c r="G19" s="17">
        <f>IF(G18=0,"",1-G20/G18)</f>
        <v/>
      </c>
      <c r="H19" s="17">
        <f>IF(H18=0,"",1-H20/H18)</f>
        <v/>
      </c>
      <c r="I19" s="17">
        <f>IF(I18=0,"",1-I20/I18)</f>
        <v/>
      </c>
      <c r="J19" s="18">
        <f>IF(J18=0,"",1-J20/J18)</f>
        <v/>
      </c>
    </row>
    <row r="20">
      <c r="A20" s="14" t="n"/>
      <c r="B20" s="14" t="n"/>
      <c r="C20" s="14" t="inlineStr">
        <is>
          <t>Open-to-buy по себестоимости</t>
        </is>
      </c>
      <c r="D20" s="15">
        <f>SUMIF($C$26:$C$400,$C20,D$26:D$400)</f>
        <v/>
      </c>
      <c r="E20" s="15">
        <f>SUMIF($C$26:$C$400,$C20,E$26:E$400)</f>
        <v/>
      </c>
      <c r="F20" s="15">
        <f>SUMIF($C$26:$C$400,$C20,F$26:F$400)</f>
        <v/>
      </c>
      <c r="G20" s="15">
        <f>SUMIF($C$26:$C$400,$C20,G$26:G$400)</f>
        <v/>
      </c>
      <c r="H20" s="15">
        <f>SUMIF($C$26:$C$400,$C20,H$26:H$400)</f>
        <v/>
      </c>
      <c r="I20" s="15">
        <f>SUMIF($C$26:$C$400,$C20,I$26:I$400)</f>
        <v/>
      </c>
      <c r="J20" s="16">
        <f>SUM(D20:I20)</f>
        <v/>
      </c>
    </row>
    <row r="21">
      <c r="A21" s="14" t="n"/>
      <c r="B21" s="14" t="n"/>
      <c r="C21" s="14" t="inlineStr">
        <is>
          <t>Средняя себестоимость единицы</t>
        </is>
      </c>
      <c r="D21" s="19">
        <f>IF(D22=0,"",D20/D22)</f>
        <v/>
      </c>
      <c r="E21" s="19">
        <f>IF(E22=0,"",E20/E22)</f>
        <v/>
      </c>
      <c r="F21" s="19">
        <f>IF(F22=0,"",F20/F22)</f>
        <v/>
      </c>
      <c r="G21" s="19">
        <f>IF(G22=0,"",G20/G22)</f>
        <v/>
      </c>
      <c r="H21" s="19">
        <f>IF(H22=0,"",H20/H22)</f>
        <v/>
      </c>
      <c r="I21" s="19">
        <f>IF(I22=0,"",I20/I22)</f>
        <v/>
      </c>
      <c r="J21" s="14" t="n"/>
    </row>
    <row r="22">
      <c r="A22" s="14" t="n"/>
      <c r="B22" s="14" t="n"/>
      <c r="C22" s="14" t="inlineStr">
        <is>
          <t>Open-to-buy в штуках</t>
        </is>
      </c>
      <c r="D22" s="15">
        <f>SUMIF($C$26:$C$400,$C22,D$26:D$400)</f>
        <v/>
      </c>
      <c r="E22" s="15">
        <f>SUMIF($C$26:$C$400,$C22,E$26:E$400)</f>
        <v/>
      </c>
      <c r="F22" s="15">
        <f>SUMIF($C$26:$C$400,$C22,F$26:F$400)</f>
        <v/>
      </c>
      <c r="G22" s="15">
        <f>SUMIF($C$26:$C$400,$C22,G$26:G$400)</f>
        <v/>
      </c>
      <c r="H22" s="15">
        <f>SUMIF($C$26:$C$400,$C22,H$26:H$400)</f>
        <v/>
      </c>
      <c r="I22" s="15">
        <f>SUMIF($C$26:$C$400,$C22,I$26:I$400)</f>
        <v/>
      </c>
      <c r="J22" s="16">
        <f>SUM(D22:I22)</f>
        <v/>
      </c>
    </row>
    <row r="23">
      <c r="A23" s="14" t="n"/>
      <c r="B23" s="14" t="n"/>
      <c r="C23" s="14" t="inlineStr">
        <is>
          <t>Продажи факт</t>
        </is>
      </c>
      <c r="D23" s="15">
        <f>SUMIF($C$26:$C$400,$C23,D$26:D$400)</f>
        <v/>
      </c>
      <c r="E23" s="15">
        <f>SUMIF($C$26:$C$400,$C23,E$26:E$400)</f>
        <v/>
      </c>
      <c r="F23" s="15">
        <f>SUMIF($C$26:$C$400,$C23,F$26:F$400)</f>
        <v/>
      </c>
      <c r="G23" s="15">
        <f>SUMIF($C$26:$C$400,$C23,G$26:G$400)</f>
        <v/>
      </c>
      <c r="H23" s="15">
        <f>SUMIF($C$26:$C$400,$C23,H$26:H$400)</f>
        <v/>
      </c>
      <c r="I23" s="15">
        <f>SUMIF($C$26:$C$400,$C23,I$26:I$400)</f>
        <v/>
      </c>
      <c r="J23" s="16">
        <f>SUM(D23:I23)</f>
        <v/>
      </c>
    </row>
    <row r="24">
      <c r="A24" s="14" t="n"/>
      <c r="B24" s="14" t="n"/>
      <c r="C24" s="14" t="inlineStr">
        <is>
          <t>Поставки факт</t>
        </is>
      </c>
      <c r="D24" s="15">
        <f>SUMIF($C$26:$C$400,$C24,D$26:D$400)</f>
        <v/>
      </c>
      <c r="E24" s="15">
        <f>SUMIF($C$26:$C$400,$C24,E$26:E$400)</f>
        <v/>
      </c>
      <c r="F24" s="15">
        <f>SUMIF($C$26:$C$400,$C24,F$26:F$400)</f>
        <v/>
      </c>
      <c r="G24" s="15">
        <f>SUMIF($C$26:$C$400,$C24,G$26:G$400)</f>
        <v/>
      </c>
      <c r="H24" s="15">
        <f>SUMIF($C$26:$C$400,$C24,H$26:H$400)</f>
        <v/>
      </c>
      <c r="I24" s="15">
        <f>SUMIF($C$26:$C$400,$C24,I$26:I$400)</f>
        <v/>
      </c>
      <c r="J24" s="16">
        <f>SUM(D24:I24)</f>
        <v/>
      </c>
    </row>
    <row r="25">
      <c r="A25" s="14" t="n"/>
      <c r="B25" s="14" t="n"/>
      <c r="C25" s="13" t="inlineStr">
        <is>
          <t>Проверка</t>
        </is>
      </c>
      <c r="D25" s="20">
        <f>IF(COUNTIF(D$26:D$400,"Перезакуп")&gt;0,"Перезакуп",IF(COUNTIF(D$26:D$400,"Внесите факт")&gt;0,"Внесите факт",IF(COUNTIF(D$26:D$400,"Продажи вне плана")&gt;0,"Продажи вне плана",IF(D$10&gt;$C$6,"","OK"))))</f>
        <v/>
      </c>
      <c r="E25" s="20">
        <f>IF(COUNTIF(E$26:E$400,"Перезакуп")&gt;0,"Перезакуп",IF(COUNTIF(E$26:E$400,"Внесите факт")&gt;0,"Внесите факт",IF(COUNTIF(E$26:E$400,"Продажи вне плана")&gt;0,"Продажи вне плана",IF(E$10&gt;$C$6,"","OK"))))</f>
        <v/>
      </c>
      <c r="F25" s="20">
        <f>IF(COUNTIF(F$26:F$400,"Перезакуп")&gt;0,"Перезакуп",IF(COUNTIF(F$26:F$400,"Внесите факт")&gt;0,"Внесите факт",IF(COUNTIF(F$26:F$400,"Продажи вне плана")&gt;0,"Продажи вне плана",IF(F$10&gt;$C$6,"","OK"))))</f>
        <v/>
      </c>
      <c r="G25" s="20">
        <f>IF(COUNTIF(G$26:G$400,"Перезакуп")&gt;0,"Перезакуп",IF(COUNTIF(G$26:G$400,"Внесите факт")&gt;0,"Внесите факт",IF(COUNTIF(G$26:G$400,"Продажи вне плана")&gt;0,"Продажи вне плана",IF(G$10&gt;$C$6,"","OK"))))</f>
        <v/>
      </c>
      <c r="H25" s="20">
        <f>IF(COUNTIF(H$26:H$400,"Перезакуп")&gt;0,"Перезакуп",IF(COUNTIF(H$26:H$400,"Внесите факт")&gt;0,"Внесите факт",IF(COUNTIF(H$26:H$400,"Продажи вне плана")&gt;0,"Продажи вне плана",IF(H$10&gt;$C$6,"","OK"))))</f>
        <v/>
      </c>
      <c r="I25" s="20">
        <f>IF(COUNTIF(I$26:I$400,"Перезакуп")&gt;0,"Перезакуп",IF(COUNTIF(I$26:I$400,"Внесите факт")&gt;0,"Внесите факт",IF(COUNTIF(I$26:I$400,"Продажи вне плана")&gt;0,"Продажи вне плана",IF(I$10&gt;$C$6,"","OK"))))</f>
        <v/>
      </c>
      <c r="J25" s="14" t="n"/>
    </row>
    <row r="26">
      <c r="A26" s="21" t="inlineStr">
        <is>
          <t>Рынок A</t>
        </is>
      </c>
      <c r="B26" s="21" t="inlineStr">
        <is>
          <t>Платья</t>
        </is>
      </c>
      <c r="C26" s="22" t="inlineStr">
        <is>
          <t>План продаж</t>
        </is>
      </c>
      <c r="D26" s="23" t="n">
        <v>42000</v>
      </c>
      <c r="E26" s="23" t="n">
        <v>48000</v>
      </c>
      <c r="F26" s="23" t="n">
        <v>55000</v>
      </c>
      <c r="G26" s="23" t="n">
        <v>60000</v>
      </c>
      <c r="H26" s="23" t="n">
        <v>52000</v>
      </c>
      <c r="I26" s="23" t="n">
        <v>38000</v>
      </c>
      <c r="J26" s="24">
        <f>SUM(D26:I26)</f>
        <v/>
      </c>
    </row>
    <row r="27">
      <c r="A27" s="22" t="n"/>
      <c r="B27" s="22" t="n"/>
      <c r="C27" s="22" t="inlineStr">
        <is>
          <t>План уценки</t>
        </is>
      </c>
      <c r="D27" s="23" t="n">
        <v>1500</v>
      </c>
      <c r="E27" s="23" t="n">
        <v>1800</v>
      </c>
      <c r="F27" s="23" t="n">
        <v>2500</v>
      </c>
      <c r="G27" s="23" t="n">
        <v>4000</v>
      </c>
      <c r="H27" s="23" t="n">
        <v>9000</v>
      </c>
      <c r="I27" s="23" t="n">
        <v>12000</v>
      </c>
      <c r="J27" s="24">
        <f>SUM(D27:I27)</f>
        <v/>
      </c>
    </row>
    <row r="28">
      <c r="A28" s="22" t="n"/>
      <c r="B28" s="22" t="n"/>
      <c r="C28" s="22" t="inlineStr">
        <is>
          <t>План остатка на конец</t>
        </is>
      </c>
      <c r="D28" s="23" t="n">
        <v>120000</v>
      </c>
      <c r="E28" s="23" t="n">
        <v>130000</v>
      </c>
      <c r="F28" s="23" t="n">
        <v>125000</v>
      </c>
      <c r="G28" s="23" t="n">
        <v>110000</v>
      </c>
      <c r="H28" s="23" t="n">
        <v>80000</v>
      </c>
      <c r="I28" s="23" t="n">
        <v>50000</v>
      </c>
      <c r="J28" s="24">
        <f>I28</f>
        <v/>
      </c>
    </row>
    <row r="29">
      <c r="A29" s="22" t="n"/>
      <c r="B29" s="22" t="n"/>
      <c r="C29" s="22" t="inlineStr">
        <is>
          <t>Остаток на начало</t>
        </is>
      </c>
      <c r="D29" s="23" t="n">
        <v>110000</v>
      </c>
      <c r="E29" s="25">
        <f>D28</f>
        <v/>
      </c>
      <c r="F29" s="25">
        <f>E28</f>
        <v/>
      </c>
      <c r="G29" s="25">
        <f>F28</f>
        <v/>
      </c>
      <c r="H29" s="25">
        <f>G28</f>
        <v/>
      </c>
      <c r="I29" s="25">
        <f>H28</f>
        <v/>
      </c>
      <c r="J29" s="24">
        <f>D29</f>
        <v/>
      </c>
    </row>
    <row r="30">
      <c r="A30" s="22" t="n"/>
      <c r="B30" s="22" t="n"/>
      <c r="C30" s="22" t="inlineStr">
        <is>
          <t>Заказано</t>
        </is>
      </c>
      <c r="D30" s="23" t="n">
        <v>30000</v>
      </c>
      <c r="E30" s="23" t="n">
        <v>40000</v>
      </c>
      <c r="F30" s="23" t="n">
        <v>35000</v>
      </c>
      <c r="G30" s="23" t="n">
        <v>20000</v>
      </c>
      <c r="H30" s="23" t="n">
        <v>10000</v>
      </c>
      <c r="I30" s="23" t="n">
        <v>0</v>
      </c>
      <c r="J30" s="24">
        <f>SUM(D30:I30)</f>
        <v/>
      </c>
    </row>
    <row r="31">
      <c r="A31" s="22" t="n"/>
      <c r="B31" s="22" t="n"/>
      <c r="C31" s="7" t="inlineStr">
        <is>
          <t>Open-to-buy</t>
        </is>
      </c>
      <c r="D31" s="24">
        <f>D26+D27+D28-D29-D30</f>
        <v/>
      </c>
      <c r="E31" s="24">
        <f>E26+E27+E28-E29-E30</f>
        <v/>
      </c>
      <c r="F31" s="24">
        <f>F26+F27+F28-F29-F30</f>
        <v/>
      </c>
      <c r="G31" s="24">
        <f>G26+G27+G28-G29-G30</f>
        <v/>
      </c>
      <c r="H31" s="24">
        <f>H26+H27+H28-H29-H30</f>
        <v/>
      </c>
      <c r="I31" s="24">
        <f>I26+I27+I28-I29-I30</f>
        <v/>
      </c>
      <c r="J31" s="24">
        <f>SUM(D31:I31)</f>
        <v/>
      </c>
    </row>
    <row r="32">
      <c r="A32" s="22" t="n"/>
      <c r="B32" s="22" t="n"/>
      <c r="C32" s="22" t="inlineStr">
        <is>
          <t>Маржинальность закупки %</t>
        </is>
      </c>
      <c r="D32" s="9" t="n">
        <v>0.62</v>
      </c>
      <c r="E32" s="26">
        <f>D32</f>
        <v/>
      </c>
      <c r="F32" s="26">
        <f>E32</f>
        <v/>
      </c>
      <c r="G32" s="26">
        <f>F32</f>
        <v/>
      </c>
      <c r="H32" s="26">
        <f>G32</f>
        <v/>
      </c>
      <c r="I32" s="26">
        <f>H32</f>
        <v/>
      </c>
      <c r="J32" s="27">
        <f>IF(J31=0,"",1-J33/J31)</f>
        <v/>
      </c>
    </row>
    <row r="33">
      <c r="A33" s="22" t="n"/>
      <c r="B33" s="22" t="n"/>
      <c r="C33" s="22" t="inlineStr">
        <is>
          <t>Open-to-buy по себестоимости</t>
        </is>
      </c>
      <c r="D33" s="25">
        <f>D31*(1-D32)</f>
        <v/>
      </c>
      <c r="E33" s="25">
        <f>E31*(1-E32)</f>
        <v/>
      </c>
      <c r="F33" s="25">
        <f>F31*(1-F32)</f>
        <v/>
      </c>
      <c r="G33" s="25">
        <f>G31*(1-G32)</f>
        <v/>
      </c>
      <c r="H33" s="25">
        <f>H31*(1-H32)</f>
        <v/>
      </c>
      <c r="I33" s="25">
        <f>I31*(1-I32)</f>
        <v/>
      </c>
      <c r="J33" s="24">
        <f>SUM(D33:I33)</f>
        <v/>
      </c>
    </row>
    <row r="34">
      <c r="A34" s="22" t="n"/>
      <c r="B34" s="22" t="n"/>
      <c r="C34" s="22" t="inlineStr">
        <is>
          <t>Средняя себестоимость единицы</t>
        </is>
      </c>
      <c r="D34" s="28" t="n">
        <v>24</v>
      </c>
      <c r="E34" s="29">
        <f>D34</f>
        <v/>
      </c>
      <c r="F34" s="29">
        <f>E34</f>
        <v/>
      </c>
      <c r="G34" s="29">
        <f>F34</f>
        <v/>
      </c>
      <c r="H34" s="29">
        <f>G34</f>
        <v/>
      </c>
      <c r="I34" s="29">
        <f>H34</f>
        <v/>
      </c>
      <c r="J34" s="22" t="n"/>
    </row>
    <row r="35">
      <c r="A35" s="22" t="n"/>
      <c r="B35" s="22" t="n"/>
      <c r="C35" s="22" t="inlineStr">
        <is>
          <t>Open-to-buy в штуках</t>
        </is>
      </c>
      <c r="D35" s="25">
        <f>IF(D34&gt;0,ROUND(D33/D34,0),0)</f>
        <v/>
      </c>
      <c r="E35" s="25">
        <f>IF(E34&gt;0,ROUND(E33/E34,0),0)</f>
        <v/>
      </c>
      <c r="F35" s="25">
        <f>IF(F34&gt;0,ROUND(F33/F34,0),0)</f>
        <v/>
      </c>
      <c r="G35" s="25">
        <f>IF(G34&gt;0,ROUND(G33/G34,0),0)</f>
        <v/>
      </c>
      <c r="H35" s="25">
        <f>IF(H34&gt;0,ROUND(H33/H34,0),0)</f>
        <v/>
      </c>
      <c r="I35" s="25">
        <f>IF(I34&gt;0,ROUND(I33/I34,0),0)</f>
        <v/>
      </c>
      <c r="J35" s="24">
        <f>SUM(D35:I35)</f>
        <v/>
      </c>
    </row>
    <row r="36">
      <c r="A36" s="22" t="n"/>
      <c r="B36" s="22" t="n"/>
      <c r="C36" s="22" t="inlineStr">
        <is>
          <t>Продажи факт</t>
        </is>
      </c>
      <c r="D36" s="23" t="n">
        <v>40500</v>
      </c>
      <c r="E36" s="23" t="n">
        <v>51000</v>
      </c>
      <c r="F36" s="23" t="n"/>
      <c r="G36" s="23" t="n"/>
      <c r="H36" s="23" t="n"/>
      <c r="I36" s="23" t="n"/>
      <c r="J36" s="24">
        <f>SUM(D36:I36)</f>
        <v/>
      </c>
    </row>
    <row r="37">
      <c r="A37" s="22" t="n"/>
      <c r="B37" s="22" t="n"/>
      <c r="C37" s="22" t="inlineStr">
        <is>
          <t>Поставки факт</t>
        </is>
      </c>
      <c r="D37" s="23" t="n">
        <v>29000</v>
      </c>
      <c r="E37" s="23" t="n">
        <v>41500</v>
      </c>
      <c r="F37" s="23" t="n"/>
      <c r="G37" s="23" t="n"/>
      <c r="H37" s="23" t="n"/>
      <c r="I37" s="23" t="n"/>
      <c r="J37" s="24">
        <f>SUM(D37:I37)</f>
        <v/>
      </c>
    </row>
    <row r="38">
      <c r="A38" s="22" t="n"/>
      <c r="B38" s="22" t="n"/>
      <c r="C38" s="7" t="inlineStr">
        <is>
          <t>Проверка</t>
        </is>
      </c>
      <c r="D38" s="30">
        <f>IF(D31&lt;0,"Перезакуп",IF(D$10&gt;$C$6,"",IF(OR(D36="",D37=""),"Внесите факт",IF(AND(D26&gt;0,ABS(D36/D26-1)&gt;$C$7),"Продажи вне плана","OK"))))</f>
        <v/>
      </c>
      <c r="E38" s="30">
        <f>IF(E31&lt;0,"Перезакуп",IF(E$10&gt;$C$6,"",IF(OR(E36="",E37=""),"Внесите факт",IF(AND(E26&gt;0,ABS(E36/E26-1)&gt;$C$7),"Продажи вне плана","OK"))))</f>
        <v/>
      </c>
      <c r="F38" s="30">
        <f>IF(F31&lt;0,"Перезакуп",IF(F$10&gt;$C$6,"",IF(OR(F36="",F37=""),"Внесите факт",IF(AND(F26&gt;0,ABS(F36/F26-1)&gt;$C$7),"Продажи вне плана","OK"))))</f>
        <v/>
      </c>
      <c r="G38" s="30">
        <f>IF(G31&lt;0,"Перезакуп",IF(G$10&gt;$C$6,"",IF(OR(G36="",G37=""),"Внесите факт",IF(AND(G26&gt;0,ABS(G36/G26-1)&gt;$C$7),"Продажи вне плана","OK"))))</f>
        <v/>
      </c>
      <c r="H38" s="30">
        <f>IF(H31&lt;0,"Перезакуп",IF(H$10&gt;$C$6,"",IF(OR(H36="",H37=""),"Внесите факт",IF(AND(H26&gt;0,ABS(H36/H26-1)&gt;$C$7),"Продажи вне плана","OK"))))</f>
        <v/>
      </c>
      <c r="I38" s="30">
        <f>IF(I31&lt;0,"Перезакуп",IF(I$10&gt;$C$6,"",IF(OR(I36="",I37=""),"Внесите факт",IF(AND(I26&gt;0,ABS(I36/I26-1)&gt;$C$7),"Продажи вне плана","OK"))))</f>
        <v/>
      </c>
      <c r="J38" s="22" t="n"/>
    </row>
    <row r="39">
      <c r="A39" s="21" t="inlineStr">
        <is>
          <t>Рынок A</t>
        </is>
      </c>
      <c r="B39" s="21" t="inlineStr">
        <is>
          <t>Трикотаж</t>
        </is>
      </c>
      <c r="C39" s="31" t="inlineStr">
        <is>
          <t>План продаж</t>
        </is>
      </c>
      <c r="D39" s="23" t="n">
        <v>26000</v>
      </c>
      <c r="E39" s="23" t="n">
        <v>24000</v>
      </c>
      <c r="F39" s="23" t="n">
        <v>18000</v>
      </c>
      <c r="G39" s="23" t="n">
        <v>12000</v>
      </c>
      <c r="H39" s="23" t="n">
        <v>9000</v>
      </c>
      <c r="I39" s="23" t="n">
        <v>7000</v>
      </c>
      <c r="J39" s="24">
        <f>SUM(D39:I39)</f>
        <v/>
      </c>
    </row>
    <row r="40">
      <c r="A40" s="31" t="n"/>
      <c r="B40" s="31" t="n"/>
      <c r="C40" s="31" t="inlineStr">
        <is>
          <t>План уценки</t>
        </is>
      </c>
      <c r="D40" s="23" t="n">
        <v>1000</v>
      </c>
      <c r="E40" s="23" t="n">
        <v>1500</v>
      </c>
      <c r="F40" s="23" t="n">
        <v>2500</v>
      </c>
      <c r="G40" s="23" t="n">
        <v>3500</v>
      </c>
      <c r="H40" s="23" t="n">
        <v>3000</v>
      </c>
      <c r="I40" s="23" t="n">
        <v>2500</v>
      </c>
      <c r="J40" s="24">
        <f>SUM(D40:I40)</f>
        <v/>
      </c>
    </row>
    <row r="41">
      <c r="A41" s="31" t="n"/>
      <c r="B41" s="31" t="n"/>
      <c r="C41" s="31" t="inlineStr">
        <is>
          <t>План остатка на конец</t>
        </is>
      </c>
      <c r="D41" s="23" t="n">
        <v>70000</v>
      </c>
      <c r="E41" s="23" t="n">
        <v>60000</v>
      </c>
      <c r="F41" s="23" t="n">
        <v>45000</v>
      </c>
      <c r="G41" s="23" t="n">
        <v>30000</v>
      </c>
      <c r="H41" s="23" t="n">
        <v>20000</v>
      </c>
      <c r="I41" s="23" t="n">
        <v>12000</v>
      </c>
      <c r="J41" s="24">
        <f>I41</f>
        <v/>
      </c>
    </row>
    <row r="42">
      <c r="A42" s="31" t="n"/>
      <c r="B42" s="31" t="n"/>
      <c r="C42" s="31" t="inlineStr">
        <is>
          <t>Остаток на начало</t>
        </is>
      </c>
      <c r="D42" s="23" t="n">
        <v>75000</v>
      </c>
      <c r="E42" s="25">
        <f>D41</f>
        <v/>
      </c>
      <c r="F42" s="25">
        <f>E41</f>
        <v/>
      </c>
      <c r="G42" s="25">
        <f>F41</f>
        <v/>
      </c>
      <c r="H42" s="25">
        <f>G41</f>
        <v/>
      </c>
      <c r="I42" s="25">
        <f>H41</f>
        <v/>
      </c>
      <c r="J42" s="24">
        <f>D42</f>
        <v/>
      </c>
    </row>
    <row r="43">
      <c r="A43" s="31" t="n"/>
      <c r="B43" s="31" t="n"/>
      <c r="C43" s="31" t="inlineStr">
        <is>
          <t>Заказано</t>
        </is>
      </c>
      <c r="D43" s="23" t="n">
        <v>15000</v>
      </c>
      <c r="E43" s="23" t="n">
        <v>8000</v>
      </c>
      <c r="F43" s="23" t="n">
        <v>5000</v>
      </c>
      <c r="G43" s="23" t="n">
        <v>0</v>
      </c>
      <c r="H43" s="23" t="n">
        <v>0</v>
      </c>
      <c r="I43" s="23" t="n">
        <v>0</v>
      </c>
      <c r="J43" s="24">
        <f>SUM(D43:I43)</f>
        <v/>
      </c>
    </row>
    <row r="44">
      <c r="A44" s="31" t="n"/>
      <c r="B44" s="31" t="n"/>
      <c r="C44" s="32" t="inlineStr">
        <is>
          <t>Open-to-buy</t>
        </is>
      </c>
      <c r="D44" s="24">
        <f>D39+D40+D41-D42-D43</f>
        <v/>
      </c>
      <c r="E44" s="24">
        <f>E39+E40+E41-E42-E43</f>
        <v/>
      </c>
      <c r="F44" s="24">
        <f>F39+F40+F41-F42-F43</f>
        <v/>
      </c>
      <c r="G44" s="24">
        <f>G39+G40+G41-G42-G43</f>
        <v/>
      </c>
      <c r="H44" s="24">
        <f>H39+H40+H41-H42-H43</f>
        <v/>
      </c>
      <c r="I44" s="24">
        <f>I39+I40+I41-I42-I43</f>
        <v/>
      </c>
      <c r="J44" s="24">
        <f>SUM(D44:I44)</f>
        <v/>
      </c>
    </row>
    <row r="45">
      <c r="A45" s="31" t="n"/>
      <c r="B45" s="31" t="n"/>
      <c r="C45" s="31" t="inlineStr">
        <is>
          <t>Маржинальность закупки %</t>
        </is>
      </c>
      <c r="D45" s="9" t="n">
        <v>0.6</v>
      </c>
      <c r="E45" s="26">
        <f>D45</f>
        <v/>
      </c>
      <c r="F45" s="26">
        <f>E45</f>
        <v/>
      </c>
      <c r="G45" s="26">
        <f>F45</f>
        <v/>
      </c>
      <c r="H45" s="26">
        <f>G45</f>
        <v/>
      </c>
      <c r="I45" s="26">
        <f>H45</f>
        <v/>
      </c>
      <c r="J45" s="27">
        <f>IF(J44=0,"",1-J46/J44)</f>
        <v/>
      </c>
    </row>
    <row r="46">
      <c r="A46" s="31" t="n"/>
      <c r="B46" s="31" t="n"/>
      <c r="C46" s="31" t="inlineStr">
        <is>
          <t>Open-to-buy по себестоимости</t>
        </is>
      </c>
      <c r="D46" s="25">
        <f>D44*(1-D45)</f>
        <v/>
      </c>
      <c r="E46" s="25">
        <f>E44*(1-E45)</f>
        <v/>
      </c>
      <c r="F46" s="25">
        <f>F44*(1-F45)</f>
        <v/>
      </c>
      <c r="G46" s="25">
        <f>G44*(1-G45)</f>
        <v/>
      </c>
      <c r="H46" s="25">
        <f>H44*(1-H45)</f>
        <v/>
      </c>
      <c r="I46" s="25">
        <f>I44*(1-I45)</f>
        <v/>
      </c>
      <c r="J46" s="24">
        <f>SUM(D46:I46)</f>
        <v/>
      </c>
    </row>
    <row r="47">
      <c r="A47" s="31" t="n"/>
      <c r="B47" s="31" t="n"/>
      <c r="C47" s="31" t="inlineStr">
        <is>
          <t>Средняя себестоимость единицы</t>
        </is>
      </c>
      <c r="D47" s="28" t="n">
        <v>19</v>
      </c>
      <c r="E47" s="29">
        <f>D47</f>
        <v/>
      </c>
      <c r="F47" s="29">
        <f>E47</f>
        <v/>
      </c>
      <c r="G47" s="29">
        <f>F47</f>
        <v/>
      </c>
      <c r="H47" s="29">
        <f>G47</f>
        <v/>
      </c>
      <c r="I47" s="29">
        <f>H47</f>
        <v/>
      </c>
      <c r="J47" s="22" t="n"/>
    </row>
    <row r="48">
      <c r="A48" s="31" t="n"/>
      <c r="B48" s="31" t="n"/>
      <c r="C48" s="31" t="inlineStr">
        <is>
          <t>Open-to-buy в штуках</t>
        </is>
      </c>
      <c r="D48" s="25">
        <f>IF(D47&gt;0,ROUND(D46/D47,0),0)</f>
        <v/>
      </c>
      <c r="E48" s="25">
        <f>IF(E47&gt;0,ROUND(E46/E47,0),0)</f>
        <v/>
      </c>
      <c r="F48" s="25">
        <f>IF(F47&gt;0,ROUND(F46/F47,0),0)</f>
        <v/>
      </c>
      <c r="G48" s="25">
        <f>IF(G47&gt;0,ROUND(G46/G47,0),0)</f>
        <v/>
      </c>
      <c r="H48" s="25">
        <f>IF(H47&gt;0,ROUND(H46/H47,0),0)</f>
        <v/>
      </c>
      <c r="I48" s="25">
        <f>IF(I47&gt;0,ROUND(I46/I47,0),0)</f>
        <v/>
      </c>
      <c r="J48" s="24">
        <f>SUM(D48:I48)</f>
        <v/>
      </c>
    </row>
    <row r="49">
      <c r="A49" s="31" t="n"/>
      <c r="B49" s="31" t="n"/>
      <c r="C49" s="31" t="inlineStr">
        <is>
          <t>Продажи факт</t>
        </is>
      </c>
      <c r="D49" s="23" t="n">
        <v>27200</v>
      </c>
      <c r="E49" s="23" t="n">
        <v>21000</v>
      </c>
      <c r="F49" s="23" t="n"/>
      <c r="G49" s="23" t="n"/>
      <c r="H49" s="23" t="n"/>
      <c r="I49" s="23" t="n"/>
      <c r="J49" s="24">
        <f>SUM(D49:I49)</f>
        <v/>
      </c>
    </row>
    <row r="50">
      <c r="A50" s="31" t="n"/>
      <c r="B50" s="31" t="n"/>
      <c r="C50" s="31" t="inlineStr">
        <is>
          <t>Поставки факт</t>
        </is>
      </c>
      <c r="D50" s="23" t="n">
        <v>15000</v>
      </c>
      <c r="E50" s="23" t="n">
        <v>8000</v>
      </c>
      <c r="F50" s="23" t="n"/>
      <c r="G50" s="23" t="n"/>
      <c r="H50" s="23" t="n"/>
      <c r="I50" s="23" t="n"/>
      <c r="J50" s="24">
        <f>SUM(D50:I50)</f>
        <v/>
      </c>
    </row>
    <row r="51">
      <c r="A51" s="31" t="n"/>
      <c r="B51" s="31" t="n"/>
      <c r="C51" s="32" t="inlineStr">
        <is>
          <t>Проверка</t>
        </is>
      </c>
      <c r="D51" s="30">
        <f>IF(D44&lt;0,"Перезакуп",IF(D$10&gt;$C$6,"",IF(OR(D49="",D50=""),"Внесите факт",IF(AND(D39&gt;0,ABS(D49/D39-1)&gt;$C$7),"Продажи вне плана","OK"))))</f>
        <v/>
      </c>
      <c r="E51" s="30">
        <f>IF(E44&lt;0,"Перезакуп",IF(E$10&gt;$C$6,"",IF(OR(E49="",E50=""),"Внесите факт",IF(AND(E39&gt;0,ABS(E49/E39-1)&gt;$C$7),"Продажи вне плана","OK"))))</f>
        <v/>
      </c>
      <c r="F51" s="30">
        <f>IF(F44&lt;0,"Перезакуп",IF(F$10&gt;$C$6,"",IF(OR(F49="",F50=""),"Внесите факт",IF(AND(F39&gt;0,ABS(F49/F39-1)&gt;$C$7),"Продажи вне плана","OK"))))</f>
        <v/>
      </c>
      <c r="G51" s="30">
        <f>IF(G44&lt;0,"Перезакуп",IF(G$10&gt;$C$6,"",IF(OR(G49="",G50=""),"Внесите факт",IF(AND(G39&gt;0,ABS(G49/G39-1)&gt;$C$7),"Продажи вне плана","OK"))))</f>
        <v/>
      </c>
      <c r="H51" s="30">
        <f>IF(H44&lt;0,"Перезакуп",IF(H$10&gt;$C$6,"",IF(OR(H49="",H50=""),"Внесите факт",IF(AND(H39&gt;0,ABS(H49/H39-1)&gt;$C$7),"Продажи вне плана","OK"))))</f>
        <v/>
      </c>
      <c r="I51" s="30">
        <f>IF(I44&lt;0,"Перезакуп",IF(I$10&gt;$C$6,"",IF(OR(I49="",I50=""),"Внесите факт",IF(AND(I39&gt;0,ABS(I49/I39-1)&gt;$C$7),"Продажи вне плана","OK"))))</f>
        <v/>
      </c>
      <c r="J51" s="22" t="n"/>
    </row>
    <row r="52">
      <c r="A52" s="21" t="inlineStr">
        <is>
          <t>Рынок B</t>
        </is>
      </c>
      <c r="B52" s="21" t="inlineStr">
        <is>
          <t>Платья</t>
        </is>
      </c>
      <c r="C52" s="22" t="inlineStr">
        <is>
          <t>План продаж</t>
        </is>
      </c>
      <c r="D52" s="23" t="n">
        <v>18000</v>
      </c>
      <c r="E52" s="23" t="n">
        <v>21000</v>
      </c>
      <c r="F52" s="23" t="n">
        <v>24000</v>
      </c>
      <c r="G52" s="23" t="n">
        <v>26000</v>
      </c>
      <c r="H52" s="23" t="n">
        <v>22000</v>
      </c>
      <c r="I52" s="23" t="n">
        <v>16000</v>
      </c>
      <c r="J52" s="24">
        <f>SUM(D52:I52)</f>
        <v/>
      </c>
    </row>
    <row r="53">
      <c r="A53" s="22" t="n"/>
      <c r="B53" s="22" t="n"/>
      <c r="C53" s="22" t="inlineStr">
        <is>
          <t>План уценки</t>
        </is>
      </c>
      <c r="D53" s="23" t="n">
        <v>600</v>
      </c>
      <c r="E53" s="23" t="n">
        <v>800</v>
      </c>
      <c r="F53" s="23" t="n">
        <v>1100</v>
      </c>
      <c r="G53" s="23" t="n">
        <v>1800</v>
      </c>
      <c r="H53" s="23" t="n">
        <v>4000</v>
      </c>
      <c r="I53" s="23" t="n">
        <v>5500</v>
      </c>
      <c r="J53" s="24">
        <f>SUM(D53:I53)</f>
        <v/>
      </c>
    </row>
    <row r="54">
      <c r="A54" s="22" t="n"/>
      <c r="B54" s="22" t="n"/>
      <c r="C54" s="22" t="inlineStr">
        <is>
          <t>План остатка на конец</t>
        </is>
      </c>
      <c r="D54" s="23" t="n">
        <v>52000</v>
      </c>
      <c r="E54" s="23" t="n">
        <v>56000</v>
      </c>
      <c r="F54" s="23" t="n">
        <v>54000</v>
      </c>
      <c r="G54" s="23" t="n">
        <v>47000</v>
      </c>
      <c r="H54" s="23" t="n">
        <v>35000</v>
      </c>
      <c r="I54" s="23" t="n">
        <v>22000</v>
      </c>
      <c r="J54" s="24">
        <f>I54</f>
        <v/>
      </c>
    </row>
    <row r="55">
      <c r="A55" s="22" t="n"/>
      <c r="B55" s="22" t="n"/>
      <c r="C55" s="22" t="inlineStr">
        <is>
          <t>Остаток на начало</t>
        </is>
      </c>
      <c r="D55" s="23" t="n">
        <v>48000</v>
      </c>
      <c r="E55" s="25">
        <f>D54</f>
        <v/>
      </c>
      <c r="F55" s="25">
        <f>E54</f>
        <v/>
      </c>
      <c r="G55" s="25">
        <f>F54</f>
        <v/>
      </c>
      <c r="H55" s="25">
        <f>G54</f>
        <v/>
      </c>
      <c r="I55" s="25">
        <f>H54</f>
        <v/>
      </c>
      <c r="J55" s="24">
        <f>D55</f>
        <v/>
      </c>
    </row>
    <row r="56">
      <c r="A56" s="22" t="n"/>
      <c r="B56" s="22" t="n"/>
      <c r="C56" s="22" t="inlineStr">
        <is>
          <t>Заказано</t>
        </is>
      </c>
      <c r="D56" s="23" t="n">
        <v>14000</v>
      </c>
      <c r="E56" s="23" t="n">
        <v>18000</v>
      </c>
      <c r="F56" s="23" t="n">
        <v>15000</v>
      </c>
      <c r="G56" s="23" t="n">
        <v>9000</v>
      </c>
      <c r="H56" s="23" t="n">
        <v>4000</v>
      </c>
      <c r="I56" s="23" t="n">
        <v>0</v>
      </c>
      <c r="J56" s="24">
        <f>SUM(D56:I56)</f>
        <v/>
      </c>
    </row>
    <row r="57">
      <c r="A57" s="22" t="n"/>
      <c r="B57" s="22" t="n"/>
      <c r="C57" s="7" t="inlineStr">
        <is>
          <t>Open-to-buy</t>
        </is>
      </c>
      <c r="D57" s="24">
        <f>D52+D53+D54-D55-D56</f>
        <v/>
      </c>
      <c r="E57" s="24">
        <f>E52+E53+E54-E55-E56</f>
        <v/>
      </c>
      <c r="F57" s="24">
        <f>F52+F53+F54-F55-F56</f>
        <v/>
      </c>
      <c r="G57" s="24">
        <f>G52+G53+G54-G55-G56</f>
        <v/>
      </c>
      <c r="H57" s="24">
        <f>H52+H53+H54-H55-H56</f>
        <v/>
      </c>
      <c r="I57" s="24">
        <f>I52+I53+I54-I55-I56</f>
        <v/>
      </c>
      <c r="J57" s="24">
        <f>SUM(D57:I57)</f>
        <v/>
      </c>
    </row>
    <row r="58">
      <c r="A58" s="22" t="n"/>
      <c r="B58" s="22" t="n"/>
      <c r="C58" s="22" t="inlineStr">
        <is>
          <t>Маржинальность закупки %</t>
        </is>
      </c>
      <c r="D58" s="9" t="n">
        <v>0.62</v>
      </c>
      <c r="E58" s="26">
        <f>D58</f>
        <v/>
      </c>
      <c r="F58" s="26">
        <f>E58</f>
        <v/>
      </c>
      <c r="G58" s="26">
        <f>F58</f>
        <v/>
      </c>
      <c r="H58" s="26">
        <f>G58</f>
        <v/>
      </c>
      <c r="I58" s="26">
        <f>H58</f>
        <v/>
      </c>
      <c r="J58" s="27">
        <f>IF(J57=0,"",1-J59/J57)</f>
        <v/>
      </c>
    </row>
    <row r="59">
      <c r="A59" s="22" t="n"/>
      <c r="B59" s="22" t="n"/>
      <c r="C59" s="22" t="inlineStr">
        <is>
          <t>Open-to-buy по себестоимости</t>
        </is>
      </c>
      <c r="D59" s="25">
        <f>D57*(1-D58)</f>
        <v/>
      </c>
      <c r="E59" s="25">
        <f>E57*(1-E58)</f>
        <v/>
      </c>
      <c r="F59" s="25">
        <f>F57*(1-F58)</f>
        <v/>
      </c>
      <c r="G59" s="25">
        <f>G57*(1-G58)</f>
        <v/>
      </c>
      <c r="H59" s="25">
        <f>H57*(1-H58)</f>
        <v/>
      </c>
      <c r="I59" s="25">
        <f>I57*(1-I58)</f>
        <v/>
      </c>
      <c r="J59" s="24">
        <f>SUM(D59:I59)</f>
        <v/>
      </c>
    </row>
    <row r="60">
      <c r="A60" s="22" t="n"/>
      <c r="B60" s="22" t="n"/>
      <c r="C60" s="22" t="inlineStr">
        <is>
          <t>Средняя себестоимость единицы</t>
        </is>
      </c>
      <c r="D60" s="28" t="n">
        <v>24</v>
      </c>
      <c r="E60" s="29">
        <f>D60</f>
        <v/>
      </c>
      <c r="F60" s="29">
        <f>E60</f>
        <v/>
      </c>
      <c r="G60" s="29">
        <f>F60</f>
        <v/>
      </c>
      <c r="H60" s="29">
        <f>G60</f>
        <v/>
      </c>
      <c r="I60" s="29">
        <f>H60</f>
        <v/>
      </c>
      <c r="J60" s="22" t="n"/>
    </row>
    <row r="61">
      <c r="A61" s="22" t="n"/>
      <c r="B61" s="22" t="n"/>
      <c r="C61" s="22" t="inlineStr">
        <is>
          <t>Open-to-buy в штуках</t>
        </is>
      </c>
      <c r="D61" s="25">
        <f>IF(D60&gt;0,ROUND(D59/D60,0),0)</f>
        <v/>
      </c>
      <c r="E61" s="25">
        <f>IF(E60&gt;0,ROUND(E59/E60,0),0)</f>
        <v/>
      </c>
      <c r="F61" s="25">
        <f>IF(F60&gt;0,ROUND(F59/F60,0),0)</f>
        <v/>
      </c>
      <c r="G61" s="25">
        <f>IF(G60&gt;0,ROUND(G59/G60,0),0)</f>
        <v/>
      </c>
      <c r="H61" s="25">
        <f>IF(H60&gt;0,ROUND(H59/H60,0),0)</f>
        <v/>
      </c>
      <c r="I61" s="25">
        <f>IF(I60&gt;0,ROUND(I59/I60,0),0)</f>
        <v/>
      </c>
      <c r="J61" s="24">
        <f>SUM(D61:I61)</f>
        <v/>
      </c>
    </row>
    <row r="62">
      <c r="A62" s="22" t="n"/>
      <c r="B62" s="22" t="n"/>
      <c r="C62" s="22" t="inlineStr">
        <is>
          <t>Продажи факт</t>
        </is>
      </c>
      <c r="D62" s="23" t="n">
        <v>16100</v>
      </c>
      <c r="E62" s="23" t="n">
        <v>19800</v>
      </c>
      <c r="F62" s="23" t="n"/>
      <c r="G62" s="23" t="n"/>
      <c r="H62" s="23" t="n"/>
      <c r="I62" s="23" t="n"/>
      <c r="J62" s="24">
        <f>SUM(D62:I62)</f>
        <v/>
      </c>
    </row>
    <row r="63">
      <c r="A63" s="22" t="n"/>
      <c r="B63" s="22" t="n"/>
      <c r="C63" s="22" t="inlineStr">
        <is>
          <t>Поставки факт</t>
        </is>
      </c>
      <c r="D63" s="23" t="n">
        <v>14000</v>
      </c>
      <c r="E63" s="23" t="n"/>
      <c r="F63" s="23" t="n"/>
      <c r="G63" s="23" t="n"/>
      <c r="H63" s="23" t="n"/>
      <c r="I63" s="23" t="n"/>
      <c r="J63" s="24">
        <f>SUM(D63:I63)</f>
        <v/>
      </c>
    </row>
    <row r="64">
      <c r="A64" s="22" t="n"/>
      <c r="B64" s="22" t="n"/>
      <c r="C64" s="7" t="inlineStr">
        <is>
          <t>Проверка</t>
        </is>
      </c>
      <c r="D64" s="30">
        <f>IF(D57&lt;0,"Перезакуп",IF(D$10&gt;$C$6,"",IF(OR(D62="",D63=""),"Внесите факт",IF(AND(D52&gt;0,ABS(D62/D52-1)&gt;$C$7),"Продажи вне плана","OK"))))</f>
        <v/>
      </c>
      <c r="E64" s="30">
        <f>IF(E57&lt;0,"Перезакуп",IF(E$10&gt;$C$6,"",IF(OR(E62="",E63=""),"Внесите факт",IF(AND(E52&gt;0,ABS(E62/E52-1)&gt;$C$7),"Продажи вне плана","OK"))))</f>
        <v/>
      </c>
      <c r="F64" s="30">
        <f>IF(F57&lt;0,"Перезакуп",IF(F$10&gt;$C$6,"",IF(OR(F62="",F63=""),"Внесите факт",IF(AND(F52&gt;0,ABS(F62/F52-1)&gt;$C$7),"Продажи вне плана","OK"))))</f>
        <v/>
      </c>
      <c r="G64" s="30">
        <f>IF(G57&lt;0,"Перезакуп",IF(G$10&gt;$C$6,"",IF(OR(G62="",G63=""),"Внесите факт",IF(AND(G52&gt;0,ABS(G62/G52-1)&gt;$C$7),"Продажи вне плана","OK"))))</f>
        <v/>
      </c>
      <c r="H64" s="30">
        <f>IF(H57&lt;0,"Перезакуп",IF(H$10&gt;$C$6,"",IF(OR(H62="",H63=""),"Внесите факт",IF(AND(H52&gt;0,ABS(H62/H52-1)&gt;$C$7),"Продажи вне плана","OK"))))</f>
        <v/>
      </c>
      <c r="I64" s="30">
        <f>IF(I57&lt;0,"Перезакуп",IF(I$10&gt;$C$6,"",IF(OR(I62="",I63=""),"Внесите факт",IF(AND(I52&gt;0,ABS(I62/I52-1)&gt;$C$7),"Продажи вне плана","OK"))))</f>
        <v/>
      </c>
      <c r="J64" s="22" t="n"/>
    </row>
    <row r="65">
      <c r="A65" s="21" t="inlineStr">
        <is>
          <t>Рынок B</t>
        </is>
      </c>
      <c r="B65" s="21" t="inlineStr">
        <is>
          <t>Трикотаж</t>
        </is>
      </c>
      <c r="C65" s="31" t="inlineStr">
        <is>
          <t>План продаж</t>
        </is>
      </c>
      <c r="D65" s="23" t="n">
        <v>11000</v>
      </c>
      <c r="E65" s="23" t="n">
        <v>10000</v>
      </c>
      <c r="F65" s="23" t="n">
        <v>7500</v>
      </c>
      <c r="G65" s="23" t="n">
        <v>5000</v>
      </c>
      <c r="H65" s="23" t="n">
        <v>3800</v>
      </c>
      <c r="I65" s="23" t="n">
        <v>3000</v>
      </c>
      <c r="J65" s="24">
        <f>SUM(D65:I65)</f>
        <v/>
      </c>
    </row>
    <row r="66">
      <c r="A66" s="31" t="n"/>
      <c r="B66" s="31" t="n"/>
      <c r="C66" s="31" t="inlineStr">
        <is>
          <t>План уценки</t>
        </is>
      </c>
      <c r="D66" s="23" t="n">
        <v>400</v>
      </c>
      <c r="E66" s="23" t="n">
        <v>650</v>
      </c>
      <c r="F66" s="23" t="n">
        <v>1100</v>
      </c>
      <c r="G66" s="23" t="n">
        <v>1500</v>
      </c>
      <c r="H66" s="23" t="n">
        <v>1300</v>
      </c>
      <c r="I66" s="23" t="n">
        <v>1100</v>
      </c>
      <c r="J66" s="24">
        <f>SUM(D66:I66)</f>
        <v/>
      </c>
    </row>
    <row r="67">
      <c r="A67" s="31" t="n"/>
      <c r="B67" s="31" t="n"/>
      <c r="C67" s="31" t="inlineStr">
        <is>
          <t>План остатка на конец</t>
        </is>
      </c>
      <c r="D67" s="23" t="n">
        <v>30000</v>
      </c>
      <c r="E67" s="23" t="n">
        <v>26000</v>
      </c>
      <c r="F67" s="23" t="n">
        <v>19000</v>
      </c>
      <c r="G67" s="23" t="n">
        <v>13000</v>
      </c>
      <c r="H67" s="23" t="n">
        <v>8500</v>
      </c>
      <c r="I67" s="23" t="n">
        <v>5000</v>
      </c>
      <c r="J67" s="24">
        <f>I67</f>
        <v/>
      </c>
    </row>
    <row r="68">
      <c r="A68" s="31" t="n"/>
      <c r="B68" s="31" t="n"/>
      <c r="C68" s="31" t="inlineStr">
        <is>
          <t>Остаток на начало</t>
        </is>
      </c>
      <c r="D68" s="23" t="n">
        <v>32000</v>
      </c>
      <c r="E68" s="25">
        <f>D67</f>
        <v/>
      </c>
      <c r="F68" s="25">
        <f>E67</f>
        <v/>
      </c>
      <c r="G68" s="25">
        <f>F67</f>
        <v/>
      </c>
      <c r="H68" s="25">
        <f>G67</f>
        <v/>
      </c>
      <c r="I68" s="25">
        <f>H67</f>
        <v/>
      </c>
      <c r="J68" s="24">
        <f>D68</f>
        <v/>
      </c>
    </row>
    <row r="69">
      <c r="A69" s="31" t="n"/>
      <c r="B69" s="31" t="n"/>
      <c r="C69" s="31" t="inlineStr">
        <is>
          <t>Заказано</t>
        </is>
      </c>
      <c r="D69" s="23" t="n">
        <v>6000</v>
      </c>
      <c r="E69" s="23" t="n">
        <v>3500</v>
      </c>
      <c r="F69" s="23" t="n">
        <v>2000</v>
      </c>
      <c r="G69" s="23" t="n">
        <v>0</v>
      </c>
      <c r="H69" s="23" t="n">
        <v>0</v>
      </c>
      <c r="I69" s="23" t="n">
        <v>0</v>
      </c>
      <c r="J69" s="24">
        <f>SUM(D69:I69)</f>
        <v/>
      </c>
    </row>
    <row r="70">
      <c r="A70" s="31" t="n"/>
      <c r="B70" s="31" t="n"/>
      <c r="C70" s="32" t="inlineStr">
        <is>
          <t>Open-to-buy</t>
        </is>
      </c>
      <c r="D70" s="24">
        <f>D65+D66+D67-D68-D69</f>
        <v/>
      </c>
      <c r="E70" s="24">
        <f>E65+E66+E67-E68-E69</f>
        <v/>
      </c>
      <c r="F70" s="24">
        <f>F65+F66+F67-F68-F69</f>
        <v/>
      </c>
      <c r="G70" s="24">
        <f>G65+G66+G67-G68-G69</f>
        <v/>
      </c>
      <c r="H70" s="24">
        <f>H65+H66+H67-H68-H69</f>
        <v/>
      </c>
      <c r="I70" s="24">
        <f>I65+I66+I67-I68-I69</f>
        <v/>
      </c>
      <c r="J70" s="24">
        <f>SUM(D70:I70)</f>
        <v/>
      </c>
    </row>
    <row r="71">
      <c r="A71" s="31" t="n"/>
      <c r="B71" s="31" t="n"/>
      <c r="C71" s="31" t="inlineStr">
        <is>
          <t>Маржинальность закупки %</t>
        </is>
      </c>
      <c r="D71" s="9" t="n">
        <v>0.6</v>
      </c>
      <c r="E71" s="26">
        <f>D71</f>
        <v/>
      </c>
      <c r="F71" s="26">
        <f>E71</f>
        <v/>
      </c>
      <c r="G71" s="26">
        <f>F71</f>
        <v/>
      </c>
      <c r="H71" s="26">
        <f>G71</f>
        <v/>
      </c>
      <c r="I71" s="26">
        <f>H71</f>
        <v/>
      </c>
      <c r="J71" s="27">
        <f>IF(J70=0,"",1-J72/J70)</f>
        <v/>
      </c>
    </row>
    <row r="72">
      <c r="A72" s="31" t="n"/>
      <c r="B72" s="31" t="n"/>
      <c r="C72" s="31" t="inlineStr">
        <is>
          <t>Open-to-buy по себестоимости</t>
        </is>
      </c>
      <c r="D72" s="25">
        <f>D70*(1-D71)</f>
        <v/>
      </c>
      <c r="E72" s="25">
        <f>E70*(1-E71)</f>
        <v/>
      </c>
      <c r="F72" s="25">
        <f>F70*(1-F71)</f>
        <v/>
      </c>
      <c r="G72" s="25">
        <f>G70*(1-G71)</f>
        <v/>
      </c>
      <c r="H72" s="25">
        <f>H70*(1-H71)</f>
        <v/>
      </c>
      <c r="I72" s="25">
        <f>I70*(1-I71)</f>
        <v/>
      </c>
      <c r="J72" s="24">
        <f>SUM(D72:I72)</f>
        <v/>
      </c>
    </row>
    <row r="73">
      <c r="A73" s="31" t="n"/>
      <c r="B73" s="31" t="n"/>
      <c r="C73" s="31" t="inlineStr">
        <is>
          <t>Средняя себестоимость единицы</t>
        </is>
      </c>
      <c r="D73" s="28" t="n">
        <v>19</v>
      </c>
      <c r="E73" s="29">
        <f>D73</f>
        <v/>
      </c>
      <c r="F73" s="29">
        <f>E73</f>
        <v/>
      </c>
      <c r="G73" s="29">
        <f>F73</f>
        <v/>
      </c>
      <c r="H73" s="29">
        <f>G73</f>
        <v/>
      </c>
      <c r="I73" s="29">
        <f>H73</f>
        <v/>
      </c>
      <c r="J73" s="22" t="n"/>
    </row>
    <row r="74">
      <c r="A74" s="31" t="n"/>
      <c r="B74" s="31" t="n"/>
      <c r="C74" s="31" t="inlineStr">
        <is>
          <t>Open-to-buy в штуках</t>
        </is>
      </c>
      <c r="D74" s="25">
        <f>IF(D73&gt;0,ROUND(D72/D73,0),0)</f>
        <v/>
      </c>
      <c r="E74" s="25">
        <f>IF(E73&gt;0,ROUND(E72/E73,0),0)</f>
        <v/>
      </c>
      <c r="F74" s="25">
        <f>IF(F73&gt;0,ROUND(F72/F73,0),0)</f>
        <v/>
      </c>
      <c r="G74" s="25">
        <f>IF(G73&gt;0,ROUND(G72/G73,0),0)</f>
        <v/>
      </c>
      <c r="H74" s="25">
        <f>IF(H73&gt;0,ROUND(H72/H73,0),0)</f>
        <v/>
      </c>
      <c r="I74" s="25">
        <f>IF(I73&gt;0,ROUND(I72/I73,0),0)</f>
        <v/>
      </c>
      <c r="J74" s="24">
        <f>SUM(D74:I74)</f>
        <v/>
      </c>
    </row>
    <row r="75">
      <c r="A75" s="31" t="n"/>
      <c r="B75" s="31" t="n"/>
      <c r="C75" s="31" t="inlineStr">
        <is>
          <t>Продажи факт</t>
        </is>
      </c>
      <c r="D75" s="23" t="n">
        <v>11300</v>
      </c>
      <c r="E75" s="23" t="n">
        <v>10400</v>
      </c>
      <c r="F75" s="23" t="n"/>
      <c r="G75" s="23" t="n"/>
      <c r="H75" s="23" t="n"/>
      <c r="I75" s="23" t="n"/>
      <c r="J75" s="24">
        <f>SUM(D75:I75)</f>
        <v/>
      </c>
    </row>
    <row r="76">
      <c r="A76" s="31" t="n"/>
      <c r="B76" s="31" t="n"/>
      <c r="C76" s="31" t="inlineStr">
        <is>
          <t>Поставки факт</t>
        </is>
      </c>
      <c r="D76" s="23" t="n">
        <v>6000</v>
      </c>
      <c r="E76" s="23" t="n">
        <v>3500</v>
      </c>
      <c r="F76" s="23" t="n"/>
      <c r="G76" s="23" t="n"/>
      <c r="H76" s="23" t="n"/>
      <c r="I76" s="23" t="n"/>
      <c r="J76" s="24">
        <f>SUM(D76:I76)</f>
        <v/>
      </c>
    </row>
    <row r="77">
      <c r="A77" s="31" t="n"/>
      <c r="B77" s="31" t="n"/>
      <c r="C77" s="32" t="inlineStr">
        <is>
          <t>Проверка</t>
        </is>
      </c>
      <c r="D77" s="30">
        <f>IF(D70&lt;0,"Перезакуп",IF(D$10&gt;$C$6,"",IF(OR(D75="",D76=""),"Внесите факт",IF(AND(D65&gt;0,ABS(D75/D65-1)&gt;$C$7),"Продажи вне плана","OK"))))</f>
        <v/>
      </c>
      <c r="E77" s="30">
        <f>IF(E70&lt;0,"Перезакуп",IF(E$10&gt;$C$6,"",IF(OR(E75="",E76=""),"Внесите факт",IF(AND(E65&gt;0,ABS(E75/E65-1)&gt;$C$7),"Продажи вне плана","OK"))))</f>
        <v/>
      </c>
      <c r="F77" s="30">
        <f>IF(F70&lt;0,"Перезакуп",IF(F$10&gt;$C$6,"",IF(OR(F75="",F76=""),"Внесите факт",IF(AND(F65&gt;0,ABS(F75/F65-1)&gt;$C$7),"Продажи вне плана","OK"))))</f>
        <v/>
      </c>
      <c r="G77" s="30">
        <f>IF(G70&lt;0,"Перезакуп",IF(G$10&gt;$C$6,"",IF(OR(G75="",G76=""),"Внесите факт",IF(AND(G65&gt;0,ABS(G75/G65-1)&gt;$C$7),"Продажи вне плана","OK"))))</f>
        <v/>
      </c>
      <c r="H77" s="30">
        <f>IF(H70&lt;0,"Перезакуп",IF(H$10&gt;$C$6,"",IF(OR(H75="",H76=""),"Внесите факт",IF(AND(H65&gt;0,ABS(H75/H65-1)&gt;$C$7),"Продажи вне плана","OK"))))</f>
        <v/>
      </c>
      <c r="I77" s="30">
        <f>IF(I70&lt;0,"Перезакуп",IF(I$10&gt;$C$6,"",IF(OR(I75="",I76=""),"Внесите факт",IF(AND(I65&gt;0,ABS(I75/I65-1)&gt;$C$7),"Продажи вне плана","OK"))))</f>
        <v/>
      </c>
      <c r="J77" s="22" t="n"/>
    </row>
  </sheetData>
  <mergeCells count="5">
    <mergeCell ref="A4:B4"/>
    <mergeCell ref="A7:B7"/>
    <mergeCell ref="A5:B5"/>
    <mergeCell ref="A2:J2"/>
    <mergeCell ref="A6:B6"/>
  </mergeCells>
  <conditionalFormatting sqref="D13:I400">
    <cfRule type="cellIs" priority="1" operator="equal" dxfId="0">
      <formula>"Перезакуп"</formula>
    </cfRule>
    <cfRule type="cellIs" priority="2" operator="equal" dxfId="1">
      <formula>"Внесите факт"</formula>
    </cfRule>
    <cfRule type="cellIs" priority="3" operator="equal" dxfId="1">
      <formula>"Продажи вне плана"</formula>
    </cfRule>
    <cfRule type="cellIs" priority="4" operator="equal" dxfId="2">
      <formula>"OK"</formula>
    </cfRule>
  </conditionalFormatting>
  <conditionalFormatting sqref="D13:J400">
    <cfRule type="expression" priority="5" dxfId="3">
      <formula>AND($C13="Open-to-buy",D13&lt;0)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zoomScale="10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20" customWidth="1" min="4" max="4"/>
    <col width="20" customWidth="1" min="5" max="5"/>
    <col width="14" customWidth="1" min="6" max="6"/>
  </cols>
  <sheetData>
    <row r="1">
      <c r="A1" s="1" t="inlineStr">
        <is>
          <t>Три проверки, которые не дают бюджету разойтись с фактом</t>
        </is>
      </c>
    </row>
    <row r="2" ht="30" customHeight="1">
      <c r="A2" s="2" t="inlineStr">
        <is>
          <t>Число отмеченных месяцев по каждому блоку. Всё, что больше нуля, требует решения до следующего заказа.</t>
        </is>
      </c>
    </row>
    <row r="4">
      <c r="A4" s="11" t="inlineStr">
        <is>
          <t>Рынок</t>
        </is>
      </c>
      <c r="B4" s="11" t="inlineStr">
        <is>
          <t>Категория</t>
        </is>
      </c>
      <c r="C4" s="11" t="inlineStr">
        <is>
          <t>Месяцы с перезакупом</t>
        </is>
      </c>
      <c r="D4" s="11" t="inlineStr">
        <is>
          <t>Факт не внесён</t>
        </is>
      </c>
      <c r="E4" s="11" t="inlineStr">
        <is>
          <t>Продажи вне плана</t>
        </is>
      </c>
      <c r="F4" s="11" t="inlineStr">
        <is>
          <t>Статус</t>
        </is>
      </c>
    </row>
    <row r="5">
      <c r="A5" s="22">
        <f>OTB!A26</f>
        <v/>
      </c>
      <c r="B5" s="22">
        <f>OTB!B26</f>
        <v/>
      </c>
      <c r="C5" s="33">
        <f>COUNTIF(OTB!D38:I38,"Перезакуп")</f>
        <v/>
      </c>
      <c r="D5" s="33">
        <f>COUNTIF(OTB!D38:I38,"Внесите факт")</f>
        <v/>
      </c>
      <c r="E5" s="33">
        <f>COUNTIF(OTB!D38:I38,"Продажи вне плана")</f>
        <v/>
      </c>
      <c r="F5" s="30">
        <f>IF(SUM(C5:E5)=0,"OK","Разобрать")</f>
        <v/>
      </c>
    </row>
    <row r="6">
      <c r="A6" s="22">
        <f>OTB!A39</f>
        <v/>
      </c>
      <c r="B6" s="22">
        <f>OTB!B39</f>
        <v/>
      </c>
      <c r="C6" s="33">
        <f>COUNTIF(OTB!D51:I51,"Перезакуп")</f>
        <v/>
      </c>
      <c r="D6" s="33">
        <f>COUNTIF(OTB!D51:I51,"Внесите факт")</f>
        <v/>
      </c>
      <c r="E6" s="33">
        <f>COUNTIF(OTB!D51:I51,"Продажи вне плана")</f>
        <v/>
      </c>
      <c r="F6" s="30">
        <f>IF(SUM(C6:E6)=0,"OK","Разобрать")</f>
        <v/>
      </c>
    </row>
    <row r="7">
      <c r="A7" s="22">
        <f>OTB!A52</f>
        <v/>
      </c>
      <c r="B7" s="22">
        <f>OTB!B52</f>
        <v/>
      </c>
      <c r="C7" s="33">
        <f>COUNTIF(OTB!D64:I64,"Перезакуп")</f>
        <v/>
      </c>
      <c r="D7" s="33">
        <f>COUNTIF(OTB!D64:I64,"Внесите факт")</f>
        <v/>
      </c>
      <c r="E7" s="33">
        <f>COUNTIF(OTB!D64:I64,"Продажи вне плана")</f>
        <v/>
      </c>
      <c r="F7" s="30">
        <f>IF(SUM(C7:E7)=0,"OK","Разобрать")</f>
        <v/>
      </c>
    </row>
    <row r="8">
      <c r="A8" s="22">
        <f>OTB!A65</f>
        <v/>
      </c>
      <c r="B8" s="22">
        <f>OTB!B65</f>
        <v/>
      </c>
      <c r="C8" s="33">
        <f>COUNTIF(OTB!D77:I77,"Перезакуп")</f>
        <v/>
      </c>
      <c r="D8" s="33">
        <f>COUNTIF(OTB!D77:I77,"Внесите факт")</f>
        <v/>
      </c>
      <c r="E8" s="33">
        <f>COUNTIF(OTB!D77:I77,"Продажи вне плана")</f>
        <v/>
      </c>
      <c r="F8" s="30">
        <f>IF(SUM(C8:E8)=0,"OK","Разобрать")</f>
        <v/>
      </c>
    </row>
    <row r="9">
      <c r="A9" s="13" t="inlineStr">
        <is>
          <t>Все рынки</t>
        </is>
      </c>
      <c r="B9" s="13" t="inlineStr">
        <is>
          <t>Все категории</t>
        </is>
      </c>
      <c r="C9" s="34">
        <f>SUM(C5:C8)</f>
        <v/>
      </c>
      <c r="D9" s="34">
        <f>SUM(D5:D8)</f>
        <v/>
      </c>
      <c r="E9" s="34">
        <f>SUM(E5:E8)</f>
        <v/>
      </c>
      <c r="F9" s="20">
        <f>IF(SUM(C9:E9)=0,"OK","Разобрать")</f>
        <v/>
      </c>
    </row>
    <row r="11" ht="32" customHeight="1">
      <c r="A11" s="7" t="inlineStr">
        <is>
          <t>Перезакуп</t>
        </is>
      </c>
      <c r="B11" s="6" t="inlineStr">
        <is>
          <t>Open-to-buy меньше нуля: заказы и плановый остаток уже больше, чем нужно месяцу. Отмените, перенесите или разнесите заказы по месяцам.</t>
        </is>
      </c>
      <c r="C11" s="35" t="n"/>
      <c r="D11" s="35" t="n"/>
      <c r="E11" s="35" t="n"/>
      <c r="F11" s="4" t="n"/>
    </row>
    <row r="12" ht="32" customHeight="1">
      <c r="A12" s="7" t="inlineStr">
        <is>
          <t>Внесите факт</t>
        </is>
      </c>
      <c r="B12" s="6" t="inlineStr">
        <is>
          <t>В закрытом месяце нет фактических продаж или поставок. План нельзя проверить, пока не внесены обе цифры.</t>
        </is>
      </c>
      <c r="C12" s="35" t="n"/>
      <c r="D12" s="35" t="n"/>
      <c r="E12" s="35" t="n"/>
      <c r="F12" s="4" t="n"/>
    </row>
    <row r="13" ht="32" customHeight="1">
      <c r="A13" s="7" t="inlineStr">
        <is>
          <t>Продажи вне плана</t>
        </is>
      </c>
      <c r="B13" s="6" t="inlineStr">
        <is>
          <t>Фактические продажи отличаются от плана больше, чем на допустимое отклонение. Сначала пересчитайте прогноз на оставшиеся месяцы, потом закупайте.</t>
        </is>
      </c>
      <c r="C13" s="35" t="n"/>
      <c r="D13" s="35" t="n"/>
      <c r="E13" s="35" t="n"/>
      <c r="F13" s="4" t="n"/>
    </row>
  </sheetData>
  <mergeCells count="4">
    <mergeCell ref="A2:F2"/>
    <mergeCell ref="B12:F12"/>
    <mergeCell ref="B11:F11"/>
    <mergeCell ref="B13:F13"/>
  </mergeCells>
  <conditionalFormatting sqref="F5:F9">
    <cfRule type="cellIs" priority="1" operator="equal" dxfId="1">
      <formula>"Разобрать"</formula>
    </cfRule>
    <cfRule type="cellIs" priority="2" operator="equal" dxfId="2">
      <formula>"OK"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zoomScale="10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16" customWidth="1" min="4" max="4"/>
  </cols>
  <sheetData>
    <row r="1">
      <c r="A1" s="1" t="inlineStr">
        <is>
          <t>Размерные и цветовые доли по очищенным продажам</t>
        </is>
      </c>
    </row>
    <row r="2" ht="30" customHeight="1">
      <c r="A2" s="2" t="inlineStr">
        <is>
          <t>Берите продажи за недели, когда в наличии были все размеры: так распроданный размер не выглядит непопулярным. Закупка делится по полученным долям.</t>
        </is>
      </c>
    </row>
    <row r="4">
      <c r="A4" s="7" t="inlineStr">
        <is>
          <t>Категория</t>
        </is>
      </c>
      <c r="B4" s="36">
        <f>OTB!B26</f>
        <v/>
      </c>
    </row>
    <row r="5">
      <c r="A5" s="7" t="inlineStr">
        <is>
          <t>Штук к закупке</t>
        </is>
      </c>
      <c r="B5" s="37">
        <f>OTB!J35</f>
        <v/>
      </c>
    </row>
    <row r="7">
      <c r="A7" s="11" t="inlineStr">
        <is>
          <t>Размер</t>
        </is>
      </c>
      <c r="B7" s="11" t="inlineStr">
        <is>
          <t>Очищенные продажи, шт.</t>
        </is>
      </c>
      <c r="C7" s="11" t="inlineStr">
        <is>
          <t>Доля</t>
        </is>
      </c>
      <c r="D7" s="11" t="inlineStr">
        <is>
          <t>Штук к закупке</t>
        </is>
      </c>
    </row>
    <row r="8">
      <c r="A8" s="8" t="inlineStr">
        <is>
          <t>XS</t>
        </is>
      </c>
      <c r="B8" s="23" t="n">
        <v>90</v>
      </c>
      <c r="C8" s="26">
        <f>IF(SUM($B$8:$B$12)=0,0,B8/SUM($B$8:$B$12))</f>
        <v/>
      </c>
      <c r="D8" s="25">
        <f>ROUND($B$5*C8,0)</f>
        <v/>
      </c>
    </row>
    <row r="9">
      <c r="A9" s="8" t="inlineStr">
        <is>
          <t>S</t>
        </is>
      </c>
      <c r="B9" s="23" t="n">
        <v>260</v>
      </c>
      <c r="C9" s="26">
        <f>IF(SUM($B$8:$B$12)=0,0,B9/SUM($B$8:$B$12))</f>
        <v/>
      </c>
      <c r="D9" s="25">
        <f>ROUND($B$5*C9,0)</f>
        <v/>
      </c>
    </row>
    <row r="10">
      <c r="A10" s="8" t="inlineStr">
        <is>
          <t>M</t>
        </is>
      </c>
      <c r="B10" s="23" t="n">
        <v>340</v>
      </c>
      <c r="C10" s="26">
        <f>IF(SUM($B$8:$B$12)=0,0,B10/SUM($B$8:$B$12))</f>
        <v/>
      </c>
      <c r="D10" s="25">
        <f>ROUND($B$5*C10,0)</f>
        <v/>
      </c>
    </row>
    <row r="11">
      <c r="A11" s="8" t="inlineStr">
        <is>
          <t>L</t>
        </is>
      </c>
      <c r="B11" s="23" t="n">
        <v>220</v>
      </c>
      <c r="C11" s="26">
        <f>IF(SUM($B$8:$B$12)=0,0,B11/SUM($B$8:$B$12))</f>
        <v/>
      </c>
      <c r="D11" s="25">
        <f>ROUND($B$5*C11,0)</f>
        <v/>
      </c>
    </row>
    <row r="12">
      <c r="A12" s="8" t="inlineStr">
        <is>
          <t>XL</t>
        </is>
      </c>
      <c r="B12" s="23" t="n">
        <v>90</v>
      </c>
      <c r="C12" s="26">
        <f>IF(SUM($B$8:$B$12)=0,0,B12/SUM($B$8:$B$12))</f>
        <v/>
      </c>
      <c r="D12" s="25">
        <f>ROUND($B$5*C12,0)</f>
        <v/>
      </c>
    </row>
    <row r="13">
      <c r="A13" s="13" t="inlineStr">
        <is>
          <t>Итого</t>
        </is>
      </c>
      <c r="B13" s="16">
        <f>SUM(B8:B12)</f>
        <v/>
      </c>
      <c r="C13" s="18">
        <f>SUM(C8:C12)</f>
        <v/>
      </c>
      <c r="D13" s="16">
        <f>SUM(D8:D12)</f>
        <v/>
      </c>
    </row>
    <row r="15">
      <c r="A15" s="11" t="inlineStr">
        <is>
          <t>Цвет</t>
        </is>
      </c>
      <c r="B15" s="11" t="inlineStr">
        <is>
          <t>Очищенные продажи, шт.</t>
        </is>
      </c>
      <c r="C15" s="11" t="inlineStr">
        <is>
          <t>Доля</t>
        </is>
      </c>
      <c r="D15" s="11" t="inlineStr">
        <is>
          <t>Штук к закупке</t>
        </is>
      </c>
    </row>
    <row r="16">
      <c r="A16" s="8" t="inlineStr">
        <is>
          <t>Чёрный</t>
        </is>
      </c>
      <c r="B16" s="23" t="n">
        <v>420</v>
      </c>
      <c r="C16" s="26">
        <f>IF(SUM($B$16:$B$19)=0,0,B16/SUM($B$16:$B$19))</f>
        <v/>
      </c>
      <c r="D16" s="25">
        <f>ROUND($B$5*C16,0)</f>
        <v/>
      </c>
    </row>
    <row r="17">
      <c r="A17" s="8" t="inlineStr">
        <is>
          <t>Тёмно-синий</t>
        </is>
      </c>
      <c r="B17" s="23" t="n">
        <v>260</v>
      </c>
      <c r="C17" s="26">
        <f>IF(SUM($B$16:$B$19)=0,0,B17/SUM($B$16:$B$19))</f>
        <v/>
      </c>
      <c r="D17" s="25">
        <f>ROUND($B$5*C17,0)</f>
        <v/>
      </c>
    </row>
    <row r="18">
      <c r="A18" s="8" t="inlineStr">
        <is>
          <t>Бежевый</t>
        </is>
      </c>
      <c r="B18" s="23" t="n">
        <v>190</v>
      </c>
      <c r="C18" s="26">
        <f>IF(SUM($B$16:$B$19)=0,0,B18/SUM($B$16:$B$19))</f>
        <v/>
      </c>
      <c r="D18" s="25">
        <f>ROUND($B$5*C18,0)</f>
        <v/>
      </c>
    </row>
    <row r="19">
      <c r="A19" s="8" t="inlineStr">
        <is>
          <t>Другие</t>
        </is>
      </c>
      <c r="B19" s="23" t="n">
        <v>130</v>
      </c>
      <c r="C19" s="26">
        <f>IF(SUM($B$16:$B$19)=0,0,B19/SUM($B$16:$B$19))</f>
        <v/>
      </c>
      <c r="D19" s="25">
        <f>ROUND($B$5*C19,0)</f>
        <v/>
      </c>
    </row>
    <row r="20">
      <c r="A20" s="13" t="inlineStr">
        <is>
          <t>Итого</t>
        </is>
      </c>
      <c r="B20" s="16">
        <f>SUM(B16:B19)</f>
        <v/>
      </c>
      <c r="C20" s="18">
        <f>SUM(C16:C19)</f>
        <v/>
      </c>
      <c r="D20" s="16">
        <f>SUM(D16:D19)</f>
        <v/>
      </c>
    </row>
    <row r="22">
      <c r="A22" s="38" t="inlineStr">
        <is>
          <t>После округления сумма может отличаться на одну-две штуки: поправьте самый большой размер.</t>
        </is>
      </c>
    </row>
  </sheetData>
  <mergeCells count="1">
    <mergeCell ref="A2:D2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zoomScale="100" workbookViewId="0">
      <selection activeCell="A1" sqref="A1"/>
    </sheetView>
  </sheetViews>
  <sheetFormatPr baseColWidth="8" defaultRowHeight="15"/>
  <cols>
    <col width="28" customWidth="1" min="1" max="1"/>
    <col width="70" customWidth="1" min="2" max="2"/>
    <col width="20" customWidth="1" min="3" max="3"/>
  </cols>
  <sheetData>
    <row r="1">
      <c r="A1" s="1" t="inlineStr">
        <is>
          <t>Определения: как и кем считается каждый показатель</t>
        </is>
      </c>
    </row>
    <row r="2" ht="30" customHeight="1">
      <c r="A2" s="2" t="inlineStr"/>
    </row>
    <row r="4">
      <c r="A4" s="11" t="inlineStr">
        <is>
          <t>Показатель</t>
        </is>
      </c>
      <c r="B4" s="11" t="inlineStr">
        <is>
          <t>Как считается</t>
        </is>
      </c>
      <c r="C4" s="11" t="inlineStr">
        <is>
          <t>Кто отвечает</t>
        </is>
      </c>
    </row>
    <row r="5" ht="44" customHeight="1">
      <c r="A5" s="5" t="inlineStr">
        <is>
          <t>План продаж</t>
        </is>
      </c>
      <c r="B5" s="6" t="inlineStr">
        <is>
          <t>Плановые чистые продажи месяца в розничных ценах, после возвратов, до вычета уценки.</t>
        </is>
      </c>
      <c r="C5" s="6" t="inlineStr">
        <is>
          <t>Планировщик</t>
        </is>
      </c>
    </row>
    <row r="6" ht="44" customHeight="1">
      <c r="A6" s="5" t="inlineStr">
        <is>
          <t>План уценки</t>
        </is>
      </c>
      <c r="B6" s="6" t="inlineStr">
        <is>
          <t>Потери от снижения цен за месяц: полная цена минус цена продажи, умноженные на штуки, проданные со скидкой.</t>
        </is>
      </c>
      <c r="C6" s="6" t="inlineStr">
        <is>
          <t>Планировщик</t>
        </is>
      </c>
    </row>
    <row r="7" ht="44" customHeight="1">
      <c r="A7" s="5" t="inlineStr">
        <is>
          <t>План остатка на конец</t>
        </is>
      </c>
      <c r="B7" s="6" t="inlineStr">
        <is>
          <t>Остаток в розничных ценах, нужный на конец месяца, обычно запас на несколько следующих недель продаж.</t>
        </is>
      </c>
      <c r="C7" s="6" t="inlineStr">
        <is>
          <t>Планировщик</t>
        </is>
      </c>
    </row>
    <row r="8" ht="44" customHeight="1">
      <c r="A8" s="5" t="inlineStr">
        <is>
          <t>Остаток на начало</t>
        </is>
      </c>
      <c r="B8" s="6" t="inlineStr">
        <is>
          <t>Первый месяц: остаток на начало сезона. Следующие месяцы: плановый остаток на конец предыдущего месяца.</t>
        </is>
      </c>
      <c r="C8" s="6" t="inlineStr">
        <is>
          <t>Формула</t>
        </is>
      </c>
    </row>
    <row r="9" ht="44" customHeight="1">
      <c r="A9" s="5" t="inlineStr">
        <is>
          <t>Заказано</t>
        </is>
      </c>
      <c r="B9" s="6" t="inlineStr">
        <is>
          <t>Уже размещённые заказы с поставкой в этом месяце, в розничных ценах.</t>
        </is>
      </c>
      <c r="C9" s="6" t="inlineStr">
        <is>
          <t>Байер</t>
        </is>
      </c>
    </row>
    <row r="10" ht="44" customHeight="1">
      <c r="A10" s="5" t="inlineStr">
        <is>
          <t>Open-to-buy</t>
        </is>
      </c>
      <c r="B10" s="6" t="inlineStr">
        <is>
          <t>План продаж + план уценки + план остатка на конец − остаток на начало − заказано.</t>
        </is>
      </c>
      <c r="C10" s="6" t="inlineStr">
        <is>
          <t>Формула</t>
        </is>
      </c>
    </row>
    <row r="11" ht="44" customHeight="1">
      <c r="A11" s="5" t="inlineStr">
        <is>
          <t>Маржинальность закупки %</t>
        </is>
      </c>
      <c r="B11" s="6" t="inlineStr">
        <is>
          <t>Плановая маржинальность новых закупок: (розничная цена − закупочная цена) ÷ розничная цена, обе без НДС.</t>
        </is>
      </c>
      <c r="C11" s="6" t="inlineStr">
        <is>
          <t>Байер и финансы</t>
        </is>
      </c>
    </row>
    <row r="12" ht="44" customHeight="1">
      <c r="A12" s="5" t="inlineStr">
        <is>
          <t>Open-to-buy по себестоимости</t>
        </is>
      </c>
      <c r="B12" s="6" t="inlineStr">
        <is>
          <t>Open-to-buy × (1 − маржинальность закупки %): бюджет, который байер может потратить в закупочных ценах.</t>
        </is>
      </c>
      <c r="C12" s="6" t="inlineStr">
        <is>
          <t>Формула</t>
        </is>
      </c>
    </row>
    <row r="13" ht="44" customHeight="1">
      <c r="A13" s="5" t="inlineStr">
        <is>
          <t>Средняя себестоимость единицы</t>
        </is>
      </c>
      <c r="B13" s="6" t="inlineStr">
        <is>
          <t>Средняя закупочная цена единицы новых закупок категории.</t>
        </is>
      </c>
      <c r="C13" s="6" t="inlineStr">
        <is>
          <t>Байер</t>
        </is>
      </c>
    </row>
    <row r="14" ht="44" customHeight="1">
      <c r="A14" s="5" t="inlineStr">
        <is>
          <t>Open-to-buy в штуках</t>
        </is>
      </c>
      <c r="B14" s="6" t="inlineStr">
        <is>
          <t>Open-to-buy по себестоимости ÷ средняя себестоимость единицы, округлённо до целых штук.</t>
        </is>
      </c>
      <c r="C14" s="6" t="inlineStr">
        <is>
          <t>Формула</t>
        </is>
      </c>
    </row>
    <row r="15" ht="44" customHeight="1">
      <c r="A15" s="5" t="inlineStr">
        <is>
          <t>Продажи и поставки факт</t>
        </is>
      </c>
      <c r="B15" s="6" t="inlineStr">
        <is>
          <t>Данные отчётов по продажам и остаткам за закрытые месяцы, в розничных ценах.</t>
        </is>
      </c>
      <c r="C15" s="6" t="inlineStr">
        <is>
          <t>Аналитик</t>
        </is>
      </c>
    </row>
    <row r="16" ht="44" customHeight="1">
      <c r="A16" s="5" t="inlineStr">
        <is>
          <t>Доля размера и цвета</t>
        </is>
      </c>
      <c r="B16" s="6" t="inlineStr">
        <is>
          <t>Очищенные продажи размера или цвета ÷ очищенные продажи категории.</t>
        </is>
      </c>
      <c r="C16" s="6" t="inlineStr">
        <is>
          <t>Планировщик</t>
        </is>
      </c>
    </row>
  </sheetData>
  <mergeCells count="1"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Татьяна Бандюк · tatsianabandziuk.com</dc:creator>
  <dc:title>Бюджет закупок open-to-buy по месяцам, категориям и рынкам</dc:title>
  <dcterms:created xsi:type="dcterms:W3CDTF">2026-09-18T08:56:57Z</dcterms:created>
  <dcterms:modified xsi:type="dcterms:W3CDTF">2026-09-18T08:56:58Z</dcterms:modified>
</cp:coreProperties>
</file>